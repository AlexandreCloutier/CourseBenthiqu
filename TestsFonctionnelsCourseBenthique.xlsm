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C:\Users\Samuel\Downloads\"/>
    </mc:Choice>
  </mc:AlternateContent>
  <bookViews>
    <workbookView xWindow="0" yWindow="0" windowWidth="24000" windowHeight="9735"/>
  </bookViews>
  <sheets>
    <sheet name="Cas" sheetId="1" r:id="rId1"/>
    <sheet name="Instructions" sheetId="2" r:id="rId2"/>
  </sheets>
  <definedNames>
    <definedName name="Date_correction">Cas!$M$7</definedName>
    <definedName name="Date_test">Cas!$H$7</definedName>
    <definedName name="Debut_effacer">Cas!$F$7</definedName>
  </definedNames>
  <calcPr calcId="152511"/>
</workbook>
</file>

<file path=xl/calcChain.xml><?xml version="1.0" encoding="utf-8"?>
<calcChain xmlns="http://schemas.openxmlformats.org/spreadsheetml/2006/main">
  <c r="G1" i="1" l="1"/>
  <c r="G2" i="1" l="1"/>
  <c r="G3" i="1"/>
  <c r="G4" i="1" s="1"/>
</calcChain>
</file>

<file path=xl/sharedStrings.xml><?xml version="1.0" encoding="utf-8"?>
<sst xmlns="http://schemas.openxmlformats.org/spreadsheetml/2006/main" count="968" uniqueCount="473">
  <si>
    <t>Score :</t>
  </si>
  <si>
    <t>X dev</t>
  </si>
  <si>
    <t>Corrections initiales :</t>
  </si>
  <si>
    <t>Reste à corriger :</t>
  </si>
  <si>
    <t>Impr.
écran
?</t>
  </si>
  <si>
    <t>Corr. par</t>
  </si>
  <si>
    <t>Nom-Commentaires</t>
  </si>
  <si>
    <t>Date correction</t>
  </si>
  <si>
    <t>Résultat attendu</t>
  </si>
  <si>
    <t>Testé par</t>
  </si>
  <si>
    <t>Cas d'essai</t>
  </si>
  <si>
    <t>Date test</t>
  </si>
  <si>
    <t>FIN</t>
  </si>
  <si>
    <t>Tests fonctionnels</t>
  </si>
  <si>
    <r>
      <t xml:space="preserve">Résultat obtenu
</t>
    </r>
    <r>
      <rPr>
        <sz val="9"/>
        <color indexed="9"/>
        <rFont val="Arial"/>
        <family val="2"/>
      </rPr>
      <t>("ok", "na" pour non applicable ou description du problème)</t>
    </r>
  </si>
  <si>
    <r>
      <t xml:space="preserve">Gravité 
</t>
    </r>
    <r>
      <rPr>
        <sz val="8"/>
        <color indexed="9"/>
        <rFont val="Arial"/>
        <family val="2"/>
      </rPr>
      <t>1-essent.
2-import.
3-utile</t>
    </r>
  </si>
  <si>
    <r>
      <rPr>
        <sz val="8"/>
        <color theme="0"/>
        <rFont val="Arial"/>
        <family val="2"/>
      </rPr>
      <t>Chq ligne doit avoir un no pour le tri</t>
    </r>
    <r>
      <rPr>
        <b/>
        <sz val="10"/>
        <color theme="0"/>
        <rFont val="Arial"/>
        <family val="2"/>
      </rPr>
      <t xml:space="preserve">
# cas</t>
    </r>
  </si>
  <si>
    <t>Projet</t>
  </si>
  <si>
    <t>Utilisation du chiffrier de tests fonctionnels</t>
  </si>
  <si>
    <t>1.</t>
  </si>
  <si>
    <t>2.</t>
  </si>
  <si>
    <t>3.</t>
  </si>
  <si>
    <t xml:space="preserve">Quand le développement est complété, le responsable de la qualité reprend le chiffrier et refait les tests. </t>
  </si>
  <si>
    <t>Les développeurs partagent un seul et même fichier.</t>
  </si>
  <si>
    <t>Au besoin, ils ajoutent des cas d'essais.</t>
  </si>
  <si>
    <t>Il remet ensuite le chiffrier aux développeurs.</t>
  </si>
  <si>
    <t>4.</t>
  </si>
  <si>
    <t>Il peut entrer un niveau de gravité pour permettre aux développeurs de prioriser les corrections qu'ils effectueront.</t>
  </si>
  <si>
    <t>Il peut entrer un code pour identifier le métier touché par le cas d'essai (ex : intégrateur ou programmeur). Cette colonne peut également servir à identifier une équipe de travail.</t>
  </si>
  <si>
    <t>Le nombre de cas d'essais réussis par rapport au nombre de cas d'essais total donne le score en haut du chiffrier.</t>
  </si>
  <si>
    <t>Le développeur qui doit effectuer des corrections peut trier le chiffrier selon son métier ou selon la priorité pour retrouver plus rapidement ce qu'il doit faire.</t>
  </si>
  <si>
    <r>
      <t xml:space="preserve">Métier
</t>
    </r>
    <r>
      <rPr>
        <sz val="8"/>
        <color indexed="9"/>
        <rFont val="Arial"/>
        <family val="2"/>
      </rPr>
      <t>p-prog
i-intégr
g-graph</t>
    </r>
  </si>
  <si>
    <r>
      <t xml:space="preserve">Version à tester
</t>
    </r>
    <r>
      <rPr>
        <sz val="8"/>
        <color theme="0"/>
        <rFont val="Arial"/>
        <family val="2"/>
      </rPr>
      <t>1-en dév. (local)
2-en dév. (en ligne)
3-en prod.</t>
    </r>
  </si>
  <si>
    <t>5.</t>
  </si>
  <si>
    <t>admin :</t>
  </si>
  <si>
    <t>normal :</t>
  </si>
  <si>
    <t>code d'usager</t>
  </si>
  <si>
    <t>mot de passe</t>
  </si>
  <si>
    <t>URL en production</t>
  </si>
  <si>
    <t>URL en développement</t>
  </si>
  <si>
    <t>URL dév. :</t>
  </si>
  <si>
    <t>URL prod. :</t>
  </si>
  <si>
    <t xml:space="preserve">Avant le début du développement, l'analyste remplit les colonnes « Cas d'essai » et « Résultat attendu ». </t>
  </si>
  <si>
    <t>Il peut arriver que certains cas d'essais ne s'appliquent qu'à une version du site.  À ce moment, il inscrit le code correspondant dans la colonne « Version à tester ».</t>
  </si>
  <si>
    <t xml:space="preserve">Les cases colorées dans l'entête de la feuille « Cas » doit être correctement remplies : </t>
  </si>
  <si>
    <t xml:space="preserve">code d'usager et mot de passe admin (en dév.), </t>
  </si>
  <si>
    <t>code d'usager et mot de passe d'un usager normal (en dév.).</t>
  </si>
  <si>
    <t xml:space="preserve">nom du projet, </t>
  </si>
  <si>
    <t xml:space="preserve">URL du site en développement et en production, </t>
  </si>
  <si>
    <t>Il remet ensuite le fichier aux développeurs.</t>
  </si>
  <si>
    <t>Si la grille comprend déjà des cas d'essais et que certains ne s'appliquent pas au projet en cours, il entre « na » dans la colonne « Résultat obtenu ». La ligne devient grisée et n'est pas prise en compte dans les calculs du score.</t>
  </si>
  <si>
    <t xml:space="preserve">Pour chaque test fait pendant le développement, chacun entre un X dans la colonne « X dev ». </t>
  </si>
  <si>
    <t>Dans la colonne "Résultat obtenu", il inscrit « ok » si le test a réussi.</t>
  </si>
  <si>
    <t>Si le test a échoué, il décrit le problème dans la colonne « Résultat obtenu ».</t>
  </si>
  <si>
    <t>Il peut également ajouter des impressions d'écran dans un autre onglet du chiffrier et y référer à l'aide d'un code à son choix entré dans la colonne « Imp. Ecran? ».</t>
  </si>
  <si>
    <t>Il entre ensuite ses initiales dans la colonne « Testé par ». Les cas d'essais qui ne sont pas marqués par « ok » ni par « na » seront mis en couleur.</t>
  </si>
  <si>
    <t>Il effectue les corrections et entre au besoin ses commentaires dans la colonne « Nom-commentaire ». Il ne modifie pas la colonne « Résultat obtenu ».</t>
  </si>
  <si>
    <t>Il entre ensuite ses initiales dans la colonne « Corr. Par ». Les lignes en couleur redeviennent normales.</t>
  </si>
  <si>
    <t xml:space="preserve">Quand toutes ses corrections de la journée sont complétées, il peut cliquer sur le bouton « Date du jour » au-dessus de la colonne « Date correction ». </t>
  </si>
  <si>
    <t>La date du jour sera entrée sur chaque ligne dont la date de correction est vide et qui comporte des initiales de correcteur.</t>
  </si>
  <si>
    <t>La date du jour sera entrée sur chaque ligne dont la date de test est vide et qui comporte des initiales de testeur.</t>
  </si>
  <si>
    <t>Une fois tous les tests complétés, il peut cliquer sur le bouton « Cacher ok » pour ne montrer que les cas d'essais en problème et les cas d'essais pour lesquels un test n'aurait pas encore été fait.</t>
  </si>
  <si>
    <t xml:space="preserve">Quand tous ses tests d'une journée sont complétés, il peut cliquer sur le bouton « Date du jour » au-dessus de la colonne « Date test ». </t>
  </si>
  <si>
    <t>Le chiffrier prévoit la renumérotation dles cas d'essais à la suite d'ajout de lignes grâce à la fonctionnalité de série de données :</t>
  </si>
  <si>
    <t xml:space="preserve">Prenez en bloc les deux premières cellules de la colonne A d'une section (ex : 070.010 et 070.020) puis faites glisser le coin inférieur droit jusqu'à la dernière ligne de la section, toujours dans la colonne A. </t>
  </si>
  <si>
    <t xml:space="preserve">Les numéros seront automatiquement réajustés. </t>
  </si>
  <si>
    <t>na</t>
  </si>
  <si>
    <t>Nombre de cas d'essais :</t>
  </si>
  <si>
    <t>Testeur :</t>
  </si>
  <si>
    <t>Écran d'accueil</t>
  </si>
  <si>
    <t>Présence des boutons</t>
  </si>
  <si>
    <t>boutons nouvelle partie, charger une partie, options, crédits sont présents.</t>
  </si>
  <si>
    <t>Apparences des boutons</t>
  </si>
  <si>
    <t>Les boutons ont la même apparences que les boutons sur leurs sites web.</t>
  </si>
  <si>
    <t>hover des boutons</t>
  </si>
  <si>
    <t>les boutons change de style lorsqu'on passer au dessus d'eux pour avoir le même style que sur leurs pages web.</t>
  </si>
  <si>
    <t>Clique boutton nouvelle partie</t>
  </si>
  <si>
    <t>Le clique sur le bouton nous emmene à la page de création de partie.</t>
  </si>
  <si>
    <t>Clique bouton charger une partie</t>
  </si>
  <si>
    <t>le clique sur le bouton ouvre un explorateur pour choissir le fichier de sauvegarde voulu.</t>
  </si>
  <si>
    <t>Clique bouton crédits</t>
  </si>
  <si>
    <t>Le clique sur le bouton crédits ouvre la page avec tout les crédits du jeu.</t>
  </si>
  <si>
    <t>Apparrence logo</t>
  </si>
  <si>
    <t>Le logo est bien centrer sur la page.</t>
  </si>
  <si>
    <t>Apparences fond</t>
  </si>
  <si>
    <t>Le fond utilise la bonne couleur de bleu.</t>
  </si>
  <si>
    <t>Appuie touche tab</t>
  </si>
  <si>
    <t>Lorsqu'on appuie sur la touche TAB, les boutons change de focus selon leurs ordres d'affichage.</t>
  </si>
  <si>
    <t>Police</t>
  </si>
  <si>
    <t>La police d'écriture est simple comme time new roman, arial, etc.</t>
  </si>
  <si>
    <t>Écran création de partie</t>
  </si>
  <si>
    <t>boutons débuter et retour sont présent</t>
  </si>
  <si>
    <t>Éléments bien centrer</t>
  </si>
  <si>
    <t>les divers éléments sont bien centrer.</t>
  </si>
  <si>
    <t>Présence dropdown</t>
  </si>
  <si>
    <t>Les dropdowns du nombre de joueur et de difficultés de partie sont présent</t>
  </si>
  <si>
    <t>options nombre de joueur</t>
  </si>
  <si>
    <t>Lors d'un clique sur le dropdown, nous pouvons sélectionner 2,3 ou 4 joueurs.</t>
  </si>
  <si>
    <t>options difficultés de partie</t>
  </si>
  <si>
    <t>Lors d'un clique sur le dropdown, nous pouvons sélectionner les 3 difficultés, facile,moyen et difficile.</t>
  </si>
  <si>
    <t>Clique bouton retour</t>
  </si>
  <si>
    <t>Lors d'un clique sur le bouton de retour, nous retournons à la page d'accueil.</t>
  </si>
  <si>
    <t>Clique bouton débuter SI info pas entrer.</t>
  </si>
  <si>
    <t>Un message rouge s'affiche pour décrire ce que nous avons oublier comme information.</t>
  </si>
  <si>
    <t>Clique bouton débuter SI info entrer.</t>
  </si>
  <si>
    <t>L'écran du jeu s'ouvrira.</t>
  </si>
  <si>
    <t>Choix nombre joueur</t>
  </si>
  <si>
    <t>Lorsqu'on choissi 2,3 ou 4 joueurs, le bon nombres de textbox pour les nom et âge s'affiche.</t>
  </si>
  <si>
    <t>Passer de 4 à 3 joueurs</t>
  </si>
  <si>
    <t>Le nombre de textbox afficher change correctement.</t>
  </si>
  <si>
    <t>Passer de 4 à 2 joueurs</t>
  </si>
  <si>
    <t>Passer de 4 à 0 joueurs</t>
  </si>
  <si>
    <t>Passer de 3 à 2 joueurs</t>
  </si>
  <si>
    <t>Passer de 3 à 0 joueurs</t>
  </si>
  <si>
    <t>Passer de 2 à 0 joueurs</t>
  </si>
  <si>
    <t>Passer de 0 à 2 joueurs.</t>
  </si>
  <si>
    <t>Passer de 0 à 3 joueurs.</t>
  </si>
  <si>
    <t>Passer de 0 à 4 joueurs.</t>
  </si>
  <si>
    <t>Passer de 2 à 3 joueurs.</t>
  </si>
  <si>
    <t>Passer de 2 à 4 joueurs.</t>
  </si>
  <si>
    <t>Passer de 3 à 4 joueurs.</t>
  </si>
  <si>
    <t>Pas possible d'entrer de lettre dans âge.</t>
  </si>
  <si>
    <t>Il n'est pas possible d'entrer des lettres dans les textbox d'âge.</t>
  </si>
  <si>
    <t>Pop-up</t>
  </si>
  <si>
    <t>Chaque pop-up est bien afficher.</t>
  </si>
  <si>
    <t>Chaque pop-up est beau, centre, et sans barre de scroll.</t>
  </si>
  <si>
    <t>Présence du 'X' pour enlever le pop-up</t>
  </si>
  <si>
    <t>Un 'X' est présent pour supprimer le pop-up.</t>
  </si>
  <si>
    <t>Francais</t>
  </si>
  <si>
    <t>Le pop-up est écrit en francais et sans fautes.</t>
  </si>
  <si>
    <t>La police est simple comme time new roman, arial, etc.</t>
  </si>
  <si>
    <t>Passer le tour</t>
  </si>
  <si>
    <t>Clique sur passe le tour.</t>
  </si>
  <si>
    <t>Le clique pour passer le tour change les points ressources et pivote le plateau. La main du joueur est aussi afficher</t>
  </si>
  <si>
    <t>pivotement</t>
  </si>
  <si>
    <t>Le tableau pivote différement dépendant du nombre de joueur et leurs mains sont bien afficher.</t>
  </si>
  <si>
    <t>Pause sur passer le tour.</t>
  </si>
  <si>
    <t>Lorsqu'on clique sur le bouton passer le tour, il y a une petite pause qui nous empèche de "spam" le clique sur le bouton de passer le tour.</t>
  </si>
  <si>
    <t>Les cartes sur le plateau</t>
  </si>
  <si>
    <t>Les cartes déjà présente reste à leurs bonne position lorsqu'on passe notre tour.</t>
  </si>
  <si>
    <t>Plus de 6 cartes dans la main</t>
  </si>
  <si>
    <t>Il nous est demander de discarder les cartes pour en avoir maximum 4.</t>
  </si>
  <si>
    <t>Plus de 5 cartes dans la main</t>
  </si>
  <si>
    <t>Plus de 4 cartes dans la main</t>
  </si>
  <si>
    <t>minimum 4 cartes</t>
  </si>
  <si>
    <t>Pas possible de discarder pour avoir moins de 4 cartes.</t>
  </si>
  <si>
    <t>Écran de jeu principal</t>
  </si>
  <si>
    <t>Présence des boutons passer le tour, options, règles.</t>
  </si>
  <si>
    <t>L'apparence des boutons est le même que le site internet et que sur les différentes page d'accueil.</t>
  </si>
  <si>
    <t>Le hover des boutons change l'apparence comme sur leur site web ou les différentes page d'accueil.</t>
  </si>
  <si>
    <t>Nom à droite</t>
  </si>
  <si>
    <t>Dépendant du nombre de joueur, les bon noms et le bon nombre d'équipe est afficher pour chaque équipe.</t>
  </si>
  <si>
    <t>Plateau de jeu bien afficher</t>
  </si>
  <si>
    <t>Le plateau de jeu est mis au centre et est bien afficher.</t>
  </si>
  <si>
    <t>Main à gauche</t>
  </si>
  <si>
    <t>La main du jouer actif est bien afficher.</t>
  </si>
  <si>
    <t>Bouton désactiver</t>
  </si>
  <si>
    <t>L'apparence des différents boutons change lorsqu'il sont désactiver, exemple: lors du clique sur passer le tour, le bouton est désactiver quelques secondes.</t>
  </si>
  <si>
    <t>Drag une carte habitats</t>
  </si>
  <si>
    <t>drag dans une zone</t>
  </si>
  <si>
    <t>Il est possible de prendre une carte habitats et de la mettre sur une de nos zone.</t>
  </si>
  <si>
    <t>drag dans le fond bleu</t>
  </si>
  <si>
    <t>La carte est remise dans la main à sa bonne place et elle est agrandi.</t>
  </si>
  <si>
    <t>drag sur le plateau</t>
  </si>
  <si>
    <t>drag sur le coté d'un ennemi</t>
  </si>
  <si>
    <t>La carte est remise dans la main à sa bonne place et elle est agrandi. Le bon pop-up est afficher.</t>
  </si>
  <si>
    <t>drag dans la zone de droite</t>
  </si>
  <si>
    <t>drag et relacher dans la main</t>
  </si>
  <si>
    <t>hover avec une carte habitats sur nos zones</t>
  </si>
  <si>
    <t>Lorsqu'on drag une carte habitat, nos zones deviennent highlights quand on a une carte habitats au dessus d'eux.</t>
  </si>
  <si>
    <t>Animation</t>
  </si>
  <si>
    <t>Lorsque la carte est draguer, il y a une animation qui la raptisse.</t>
  </si>
  <si>
    <t>Jouer sans les points</t>
  </si>
  <si>
    <t>Lorsqu'on joue une carte sans avoir les points, le pop-up est afficher et la carte es réagrandi et retourner dans sa main.</t>
  </si>
  <si>
    <t>Jouer avec les points</t>
  </si>
  <si>
    <t>Le bon nombre de points sont enlever et la carte est centrer dans sa position.</t>
  </si>
  <si>
    <t>empillage</t>
  </si>
  <si>
    <t>Si on joue une carte qui est déjà présente, les cartes vont automatiquement s'empiller.</t>
  </si>
  <si>
    <t>cout ressources</t>
  </si>
  <si>
    <t>Pop-up si nous manquons de points de ressources.</t>
  </si>
  <si>
    <t>Hover</t>
  </si>
  <si>
    <t>Il y a un highlight qui apparais lorsqu'on survolle un emplacements ou on a le droti de mettre la carte.</t>
  </si>
  <si>
    <t>4 joueurs</t>
  </si>
  <si>
    <t>Le drag n'a pas de problèmes à 4 joueurs</t>
  </si>
  <si>
    <t>3 joueurs</t>
  </si>
  <si>
    <t>Le drag n'a pas de problèmes à 3 joueurs</t>
  </si>
  <si>
    <t>2 joueurs</t>
  </si>
  <si>
    <t>Le drag n'a pas de problèmes à 2 joueurs</t>
  </si>
  <si>
    <t>maximum 8 habitats</t>
  </si>
  <si>
    <t>Il n'est pas possible d'avoir plus de 8 habitats sur son jeu.</t>
  </si>
  <si>
    <t>Calcul de points</t>
  </si>
  <si>
    <t>le calcul de points est bien effectuer lorsque nous jouons un habitats.</t>
  </si>
  <si>
    <t>Curseurs</t>
  </si>
  <si>
    <t>Hover sur un élément cliquable</t>
  </si>
  <si>
    <t>Un hover sur un élément cliquable change le curseur pour une main cliquable montrant que l'élément peut être cliquer.</t>
  </si>
  <si>
    <t>Hover sur un élément draggable</t>
  </si>
  <si>
    <t>Un hover sur un élément qui est draggable change le curseur pour mettre une main qui montre que l'élément peut se faire bouger.</t>
  </si>
  <si>
    <t>Hover sur un textbox</t>
  </si>
  <si>
    <t>Un hover sur un textbox change le curseur pour démontrer qu'il est possible d'écrire.</t>
  </si>
  <si>
    <t>drag macro-invertébré</t>
  </si>
  <si>
    <t>Couts en ressources</t>
  </si>
  <si>
    <t>Lorsqu'on joue un macroinvertébrés nous devons avoir le bon nombre de points ressources sinon un pop-up nous averti.</t>
  </si>
  <si>
    <t>Couts en ressources correctement enlever</t>
  </si>
  <si>
    <t>Lorsqu'on joue un macroinvertébrés, le nombres de points ressources est correctement enlever.</t>
  </si>
  <si>
    <t>condition</t>
  </si>
  <si>
    <t>Le macroinvertébrés peut se jouer seulement si les conditions pour le jouer sont respecter, sinon un pop-up est afficher.</t>
  </si>
  <si>
    <t>Macroinvertébrés prédateur</t>
  </si>
  <si>
    <t>Lorsqu'on joue une prédateur, il doit absolument y avoir un autre macroinvertébrés de taille inférieur sur le coté d'un ennemi.</t>
  </si>
  <si>
    <t>Manger prédateur</t>
  </si>
  <si>
    <t>Un pop-up s'affiche nous disans que nous devons manger un macroinvertébrés de taille inférieur.</t>
  </si>
  <si>
    <t>highlight</t>
  </si>
  <si>
    <t>Un highlight entoure les macroinvertébrés de taille inférieur.</t>
  </si>
  <si>
    <t>Zone cliquable</t>
  </si>
  <si>
    <t>La main est bloquer et le cotés droit aussi, nous pouvons seulement cliquer sur des cartes.</t>
  </si>
  <si>
    <t>Clique sur une carte non-macro</t>
  </si>
  <si>
    <t>Un clique sur une carte qui n'est pas un macroinvertébrés affiche un pop-up.</t>
  </si>
  <si>
    <t>Clique sur une carte de taille supérieur</t>
  </si>
  <si>
    <t>Un clique sur une carte de taille supérieur à notre prédateur affiche un pop-up</t>
  </si>
  <si>
    <t>Clique sur un macro de taille inférieur</t>
  </si>
  <si>
    <t>Tout les highlight s'en vont, la carte "manger" s'en va à la décharge et les zones de gauche et droite sont désormais utilisable.</t>
  </si>
  <si>
    <t>Le calcul de points est bien effectuer après avoir jouer une carte macro.</t>
  </si>
  <si>
    <t>drag spéciale</t>
  </si>
  <si>
    <t>Jouer une carte zonage</t>
  </si>
  <si>
    <t>La carte zonage est jouable que sur le plateau</t>
  </si>
  <si>
    <t>pop-up</t>
  </si>
  <si>
    <t>La carte zonage affiche le premier pop-up pour dire de cliquer sur le premeir habitats de notre cotés.</t>
  </si>
  <si>
    <t>clique sur un habitats ennemi</t>
  </si>
  <si>
    <t>Un pop-up est afficher pour dire que nous devons d'abord cliquer sur un de nos habitats.</t>
  </si>
  <si>
    <t>Nos habitats sont highlight</t>
  </si>
  <si>
    <t>Clique sur notre habitats.</t>
  </si>
  <si>
    <t>Un 2e pop-up s'affiche  pour dire de cliquer sur la 2e carte habitats.</t>
  </si>
  <si>
    <t>Clique sur une carte non-habitats</t>
  </si>
  <si>
    <t>Un clique sur une carte non-habitats affiche un pop-up nous disant ce que nous devons faire.</t>
  </si>
  <si>
    <t>Highlight suite à un clique sur notre habitats</t>
  </si>
  <si>
    <t>Après avoir cliquer sur un de nos habitats, les highlight s'en vont et les habitats ennemi deviennent highlight.</t>
  </si>
  <si>
    <t>Clique sur habitats ennemi</t>
  </si>
  <si>
    <t>Un clique sur l'habitats ennemi échange les 2 habitats.</t>
  </si>
  <si>
    <t>Durant le procesus de zonage</t>
  </si>
  <si>
    <t>Durant le procesus de zonage, la zone de droite et la main n'est pas utilisable.</t>
  </si>
  <si>
    <t>Fin procesus de zonage</t>
  </si>
  <si>
    <t>à la fin du procesus de zonage, la zone de droite et la main sont de nouveau utilisable.</t>
  </si>
  <si>
    <t>Cas 1</t>
  </si>
  <si>
    <t>Échanger 2 carte qui ne sont pas empiler fonctionne</t>
  </si>
  <si>
    <t>Cas 2</t>
  </si>
  <si>
    <t>Échanger 2 carte mais le paquet du joueur actif est empiler fonctionne, et la carte échanger est mis ailleurs.</t>
  </si>
  <si>
    <t>Cas 3</t>
  </si>
  <si>
    <t>Échanger 2 carte mais le paquet du joueur ennemi est empiler fonctionne, et la carte échanger est mis ailleurs.</t>
  </si>
  <si>
    <t>Cas 4</t>
  </si>
  <si>
    <t>Échanger 2 cartes et les 2 paquets sont empiler fonctionne, les cartes sont échanger et placer dans un autre emplacement vide.</t>
  </si>
  <si>
    <t xml:space="preserve">Cas 5 </t>
  </si>
  <si>
    <t>Lorsqu'on échange une carte qu'on a déjà, la carte recu va s'empiler et elle est bien placer dans les donner et dans le nombre d'exemplaire.</t>
  </si>
  <si>
    <t xml:space="preserve">Cas 6 </t>
  </si>
  <si>
    <t>Lorsqu'on échange une carte que le joueur ennemi a déjà, la carte qu'il recois va s'empiler d'elle même et le nombre d'exemplaire est bien mis dans les données.</t>
  </si>
  <si>
    <t>Jouer carte accumulation</t>
  </si>
  <si>
    <t>Jouer la carte accumulation nous fais piger 3 cartes.</t>
  </si>
  <si>
    <t>Grossir la main</t>
  </si>
  <si>
    <t>Lorsque nous pigeons les 3 cartes et que notre main est pleine, la mains est grossi.</t>
  </si>
  <si>
    <t>Pris sur le fait</t>
  </si>
  <si>
    <t>La carte pris sur le fait est utilisable seulement lorsque quelqu'un joue une perturbation, un pop-up demande si le joueur désire utiliser sa carte pris sur le fait.</t>
  </si>
  <si>
    <t>Utilisation de la carte</t>
  </si>
  <si>
    <t>Si le joueur décide d'utiliser la carte pris sur le fait, la carte perturbation jouer retourne directement au cimetière en plus de la carte pris sur le fait et la carte perturbation n'a aucune effet.</t>
  </si>
  <si>
    <t>pop-up pris sur le fait</t>
  </si>
  <si>
    <t>LE pop-up affiche les personne détenant la carte pris sur le fait et affiche un texte.</t>
  </si>
  <si>
    <t>Aucun joueur</t>
  </si>
  <si>
    <t>Si aucun joueur n'est choissi, la carte de perturbation à bel et bien lieu.</t>
  </si>
  <si>
    <t>Jouer carte rétention</t>
  </si>
  <si>
    <t>Lorsque nous jouons la carte rétention, les points de ressources disponible à la fin du tour sont garder pour le prochain tour.</t>
  </si>
  <si>
    <t>Jouer sur plateau</t>
  </si>
  <si>
    <t>La carte rétention se joue seulement sur le plateau.</t>
  </si>
  <si>
    <t>Jouer sans avoir de points ressources.</t>
  </si>
  <si>
    <t>Lorsque nous jouons rétention et que nous avons pas de points ressources, un pop-up est afficher et nous ne pouvons pas jouer la carte.</t>
  </si>
  <si>
    <t>jouer carte prédation</t>
  </si>
  <si>
    <t>La carte prédation se joue seulement si nous possedons un prédateur et que notre adversaire possède un macroinvertébrés de taille inférieur à notre prédateur.</t>
  </si>
  <si>
    <t>Lorsque nous jouons la carte prédation, nos prédateur deviennent highlight.</t>
  </si>
  <si>
    <t>Clique sur notre prédateur</t>
  </si>
  <si>
    <t>Un clique sur notre prédateur enleve le highlight et rends les macro ennemis highlight.</t>
  </si>
  <si>
    <t>Pas possible de cliquer ailleurs</t>
  </si>
  <si>
    <t>Durant le procesus de prédation, la zone de droite et la main sont désactiver.</t>
  </si>
  <si>
    <t>Cliquer sur une carte non prédateur</t>
  </si>
  <si>
    <t>Un clique sur une carte non-prédateur affiche le pop-up nous disant quoi faire.</t>
  </si>
  <si>
    <t>Cliquer sur macro ennemi de taille inféfieur</t>
  </si>
  <si>
    <t>Le macro ennemi est envoyer à la décharger et il disparais du plateau.</t>
  </si>
  <si>
    <t>Clique sur une macro ennemi de taille supérieur</t>
  </si>
  <si>
    <t>Un clique sur un macro de taille supérieur affiche le pop-up nous disant la taille maximum que nous pouvons manger.</t>
  </si>
  <si>
    <t>Fin procesus de predation</t>
  </si>
  <si>
    <t>Lorsque la prédation est terminer, la zone de droite et la main fonctionnent de nouveau.</t>
  </si>
  <si>
    <t>Jouer carte dérivation</t>
  </si>
  <si>
    <t>La carte dérivation se joue seulement sur le plateau.</t>
  </si>
  <si>
    <t>Lorsque nous jouons la carte dérivation, un pop-up est afficher pour nous demander avec quel joueur nous voulons échanger notre main.</t>
  </si>
  <si>
    <t>Échange de main</t>
  </si>
  <si>
    <t>L'échange de main s'effectue correctement</t>
  </si>
  <si>
    <t>mise à la décharge</t>
  </si>
  <si>
    <t>Lorsque nous jouons dérivation, la carte est ensuite mise à la décharge.</t>
  </si>
  <si>
    <t>Jouer émergence</t>
  </si>
  <si>
    <t>La carte émergence se joue seulement sur le plateau.</t>
  </si>
  <si>
    <t>Condition émergence</t>
  </si>
  <si>
    <t>La carte se joue seulement si il y a au moins un macroinvertébré de l'un des type écrits sur la care.</t>
  </si>
  <si>
    <t>Lorsque l'on joue la carte, un pop-up est afficher nous demandant quel type de macro nous désirons retourner dans les mains de leurs propriétaires.</t>
  </si>
  <si>
    <t>type afficher</t>
  </si>
  <si>
    <t>Les seuls types afficher dans le pop-up sont les types qui sont présent sur le jeu.</t>
  </si>
  <si>
    <t>La carte est mise directement à la décharge lorsqu'elle est jouer.</t>
  </si>
  <si>
    <t>Retour dans les mains</t>
  </si>
  <si>
    <t>Le retour dans les mains des bon type fonctionnent et les mains sont grossi si elles dépassent la grosseur maximale (6)</t>
  </si>
  <si>
    <t>Jouer crue soudaine</t>
  </si>
  <si>
    <t>La carte se joue seulement sur le plateau</t>
  </si>
  <si>
    <t>Un popup est afficher nous demandant à qu'elle joueur nous désirons faire passer le tour.</t>
  </si>
  <si>
    <t>Le tour du joueur est correctement passer et un pop-up affiche la raison.</t>
  </si>
  <si>
    <t>Joueur pecheur</t>
  </si>
  <si>
    <t>La carte respecte les conditions</t>
  </si>
  <si>
    <t>effet pecheur</t>
  </si>
  <si>
    <t>les 2 effets de pecheur fonctionne corectement</t>
  </si>
  <si>
    <t>drag bande riveraine</t>
  </si>
  <si>
    <t>Points donner par bande riveraine</t>
  </si>
  <si>
    <t>Le bon nombre de points additionel est afficher dans la zone de droite le tour suivant.</t>
  </si>
  <si>
    <t>max 3 bande riveraines</t>
  </si>
  <si>
    <t>Il n'est pas possible d'avoir plus de 3 bande riveraine en jeu.</t>
  </si>
  <si>
    <t>drag action</t>
  </si>
  <si>
    <t>Jouable sur le plateau</t>
  </si>
  <si>
    <t>Les cartes actions sont jouable seulement sur le plateau.</t>
  </si>
  <si>
    <t>condition corvée de nettoyage</t>
  </si>
  <si>
    <t>La carte ne se joue pas s'il n'y a pas de déchets en jeu.</t>
  </si>
  <si>
    <t>effets</t>
  </si>
  <si>
    <t>La carte supprime corectement tout les déchets, enlève le highlights et enlève l'état perturber à la donnée.</t>
  </si>
  <si>
    <t>Condition aménagement</t>
  </si>
  <si>
    <t>La carte se joue seulement si il y a une carte érosion qui a été jouer ou si il y a des habitats parmi les cartes intervention</t>
  </si>
  <si>
    <t>Un pop-up s'affiche donnant le choix de ce que nous voulons que la carte fasse.</t>
  </si>
  <si>
    <t>effet: annuler l'effet de la carte érosion</t>
  </si>
  <si>
    <t>La carte érosion est bien annuler, l'habitat transformer en sable redevient normal et la bande riveraine reviens.</t>
  </si>
  <si>
    <t>effet: choisir un habitat parmi les cartes intervention</t>
  </si>
  <si>
    <t>Un pop-up affichant toute les cartes habitats qui sont présente dans la pile d'intervention. Il nous suffit de cliquer dessus pour la prendre.</t>
  </si>
  <si>
    <t>La carte choisi s'en va dans notre main</t>
  </si>
  <si>
    <t>Il est possible de jouer la carte d'intervention choisi.</t>
  </si>
  <si>
    <t>condition naturalisation</t>
  </si>
  <si>
    <t>La carte se joue seulement si il y a une carte d'artificialisation ou si il y a des bandes riveraine parmi les cartes d'intervention.</t>
  </si>
  <si>
    <t>effet: anuller l'effet de la carte artificialisation.</t>
  </si>
  <si>
    <t>Si nous choissison cette effet, les cartes d'artificialisation s'illumine pour que nous puissions cliquer dessus et anuler l'effet.</t>
  </si>
  <si>
    <t>clique sur une autre carte.</t>
  </si>
  <si>
    <t>Un pop-up s'affiche pour nous dire que nous n'avons pas cliquer sur la bonne carte.</t>
  </si>
  <si>
    <t>effet: choisir une bande riveraine</t>
  </si>
  <si>
    <t>Un pop-up avec les bande riveraine disponible s'affiche pour nous donner le choix.</t>
  </si>
  <si>
    <t>la bande riveraine peut se jouer</t>
  </si>
  <si>
    <t>La bande riveraine qui est choisi est jouable.</t>
  </si>
  <si>
    <t>drag perturbation</t>
  </si>
  <si>
    <t>Le couts en ressoruces est bien enlever et il n'est pas possible de jouer une care perturbation si le couts en ressources est supérieur au points de ressources restant.</t>
  </si>
  <si>
    <t>Jouer érosion</t>
  </si>
  <si>
    <t>Érosion se joue directement sur le plateau peu importe la position.</t>
  </si>
  <si>
    <t>condition érosion</t>
  </si>
  <si>
    <t>La carte d'érosion ne se joue pas si il y a pas de bande riveraine en jeu et au moins un habitats à transformet en sable</t>
  </si>
  <si>
    <t>effet d'enlever la bande riveraine</t>
  </si>
  <si>
    <t>la bande riveraine cliquer va directement à la décharge</t>
  </si>
  <si>
    <t>effet de transformer en sable quand empiler</t>
  </si>
  <si>
    <t xml:space="preserve"> </t>
  </si>
  <si>
    <t>Lorsque nous transformons en sable et que les cartes sont empiler, nous devons seulement détruire la dernière et mettre le sable sur le prochain emplacement libre.</t>
  </si>
  <si>
    <t>effet de transformer en sable</t>
  </si>
  <si>
    <t>L'habitats cliquer va à la décharge et un sable amenage est mis à sa place.</t>
  </si>
  <si>
    <t>cliquer une fois l'érosion fini</t>
  </si>
  <si>
    <t>Les cartes cliquer ne se transforme pas en sable une fois l'érosion terminer.</t>
  </si>
  <si>
    <t>défausse</t>
  </si>
  <si>
    <t>La carte est afficher sur le dessus de la pile de défausse.</t>
  </si>
  <si>
    <t>Jouer pollution organique</t>
  </si>
  <si>
    <t>Pollution organique se joue directement sur le plateau peu importe la position.</t>
  </si>
  <si>
    <t>Jouer déversement</t>
  </si>
  <si>
    <t>Déversement se joue directement sur le plateau peu importe la position.</t>
  </si>
  <si>
    <t>Jouer artificialisation</t>
  </si>
  <si>
    <t>Artificialisation se joue seulement sur une bande riveraine.</t>
  </si>
  <si>
    <t>Jouer dechets</t>
  </si>
  <si>
    <t>Dechets se joue seulement sur un habitats.</t>
  </si>
  <si>
    <t>Jouer Passage de tout-terrain</t>
  </si>
  <si>
    <t>Le passage de tout-terrain se joue seulement sur un habitats.</t>
  </si>
  <si>
    <t>Nombre de tour passage de tout-terrain</t>
  </si>
  <si>
    <t>L'effet perturber et la carte passage de tout-terrain reste seulement 1 tour.</t>
  </si>
  <si>
    <t>Macroinvertébrés mourrant</t>
  </si>
  <si>
    <t>Les macroinvertébrés qui ont besoin d'un habitats mais que cette habitats est perturber meurt si l'habitats est toujours perturber à la fin du tour.</t>
  </si>
  <si>
    <t>Effets perturber habitats</t>
  </si>
  <si>
    <t>Les habitats qui se font jouer une carte perturbation deviennent perturber et il n'est plus possible de les utiliser pour les conditions des macro-invertébrés.</t>
  </si>
  <si>
    <t>Effets perturber bande riveraine.</t>
  </si>
  <si>
    <t>Les bandes riveraine perturber ne rapporte plus de points de ressources supplémentaire.</t>
  </si>
  <si>
    <t>Sauvegarder</t>
  </si>
  <si>
    <t>Sauvegarder sans titre</t>
  </si>
  <si>
    <t>Il n'est pas possible de sauvegarder su nous n'entrons pas de titre.</t>
  </si>
  <si>
    <t>Fichier se télécharge bien</t>
  </si>
  <si>
    <t>Lorsqu'il y a un titre, le fichier se télécharge et il est possible d'y accèder plus tard pour charger une partie.</t>
  </si>
  <si>
    <t>Charger</t>
  </si>
  <si>
    <t>Charger un fichier modifier</t>
  </si>
  <si>
    <t>Lorsqu'on charge un fichier qui a mal été modifier, le programme ne plante pas et un simple message s'affiche pour nous avertir que la sauvegarde n'est pas bonne et qu'elle ne pourra pas être continuer.</t>
  </si>
  <si>
    <t>Charger un fichier qui n'est pas .jcb</t>
  </si>
  <si>
    <t>Il n'est pas possible de télécharger un fichier qui n'est pas de type fichier.jcb</t>
  </si>
  <si>
    <t>Charger une partie réussi</t>
  </si>
  <si>
    <t>Toute les cartes normals sont remis à leurs bonne place, le nombre d'exemplaire est changer et les perturbation sont ajouter.</t>
  </si>
  <si>
    <t xml:space="preserve">Continuer une partie </t>
  </si>
  <si>
    <t>Il est possible de continuer de jouer une partie qui viens d'être charger.</t>
  </si>
  <si>
    <t>Désempilage</t>
  </si>
  <si>
    <t>Déchets/artificialisation/passage de tout-terrain sur des cartes empilées</t>
  </si>
  <si>
    <t>Lorsque nous jouons une de ces perturbation sur des cartes empiler, Les cartes se désempile et notre carte de perturbation va dans un autre emplacement libre avec la carte perturber.</t>
  </si>
  <si>
    <t>150.010</t>
  </si>
  <si>
    <t>polution organique</t>
  </si>
  <si>
    <t>Lorsqu'un habitats est perturber à cause de polution organique, les habitats qui étais empiler sont désempiler et seulement l'habitats désempiler est perturber.</t>
  </si>
  <si>
    <t>Ré-empilage</t>
  </si>
  <si>
    <t>À la fin de chaque tour</t>
  </si>
  <si>
    <t>À la fin de chaque tour, les cartes qui ne reste pas perturber sotn déperturber, le highlight est retirer et elles sont réempiler si cela est possible.</t>
  </si>
  <si>
    <t>Lorsqu'on annule une perturbation</t>
  </si>
  <si>
    <t>Lorsqu'on annule une effet de perturbation, la carte est réempiller si cela est possible.</t>
  </si>
  <si>
    <t>Exemplaire</t>
  </si>
  <si>
    <t>2 carte identique droper l'une sur l'autre.</t>
  </si>
  <si>
    <t>La valeur dans le tableaux d'exemplaire est ok.</t>
  </si>
  <si>
    <t>2 carte identique dropper sur des emplacements différents</t>
  </si>
  <si>
    <t>Apparence général</t>
  </si>
  <si>
    <t>Présence paquet carte</t>
  </si>
  <si>
    <t>l'apparence est la lors de la création ou le chargement d'une partie.</t>
  </si>
  <si>
    <t>Présente paquet intervention</t>
  </si>
  <si>
    <t>Tommy Vigneault et Samuel Reid</t>
  </si>
  <si>
    <t>x</t>
  </si>
  <si>
    <t>Tests ajoutés par les testeurs</t>
  </si>
  <si>
    <t>*AJOUTÉ* Français</t>
  </si>
  <si>
    <t>*AJOUTÉ* Navigateurs</t>
  </si>
  <si>
    <t>Le site fonctionne sur tous les navigateurs</t>
  </si>
  <si>
    <t>Problèmes avec le navigateur Firefox</t>
  </si>
  <si>
    <t>ok</t>
  </si>
  <si>
    <t>TV</t>
  </si>
  <si>
    <t>aucun choix n'est apparu. Seulement un bouton confirmer ( Si ça peut vous aider, j'ai joué la carte en début de partie…)</t>
  </si>
  <si>
    <t>tv</t>
  </si>
  <si>
    <t>Elle s'est jouée, mais ne m'a pas coûtée de points de ressources</t>
  </si>
  <si>
    <t>Elle bug lorsqu'on la dépose sur une carte et revient dans la main après avoir cliqué ailleurs dans l'écran</t>
  </si>
  <si>
    <t xml:space="preserve">*AJOUTÉ* </t>
  </si>
  <si>
    <t>ok, mais à chaque fois que j'ai joué cette carte, un pop-up apparait après avoir choisi ma carte Intervention avec ce message "Il n'y a pas de cartes «Artificialisations» à retirer et il n'y a plus de cartes «Bandes Riveraines» dans le paquet de cartes «Interventions»."</t>
  </si>
  <si>
    <t>ok, mais dans la fenêtre ou je dois faire mon choix, aucun choix ne s'affiche et lorsque je clique sur confirmer, j'ai le choix des différentes cartes d'intervention.</t>
  </si>
  <si>
    <t>Ne peut pas tester, car la carte déchet ne fonctionne pas.</t>
  </si>
  <si>
    <t>Le fichier de tests fonctionnels est exempt de faute</t>
  </si>
  <si>
    <t>Beaucoup de fautes de français</t>
  </si>
  <si>
    <t>Pas toujours (Voir pollution organique)</t>
  </si>
  <si>
    <t>ok (Je vous conseille par contre de limiter les choix de la recherche à .jcb ! Cela se fait facilement avec un fileupload)</t>
  </si>
  <si>
    <t>Hover sur les cartes des enemis du haut</t>
  </si>
  <si>
    <t>On voit la carte complètement lorsqu'elle apparait en gros</t>
  </si>
  <si>
    <t>Non, il manque la moitier de la carte</t>
  </si>
  <si>
    <t>sr</t>
  </si>
  <si>
    <t>Les pop up son uniforme</t>
  </si>
  <si>
    <t>Les pop sont tous pareille</t>
  </si>
  <si>
    <t>Non les pop up on des couleur different</t>
  </si>
  <si>
    <t>non les boutons sont différents</t>
  </si>
  <si>
    <t>Bouton dans pop up pareil comme dans le jeu</t>
  </si>
  <si>
    <t>Les boutons utilisées dans les pop-up sont les mêmes que ceux utilisés dans le jeu</t>
  </si>
  <si>
    <t>Perturbation ne marche pas, donc ne peut pas tester</t>
  </si>
  <si>
    <t>Pas capable de charger les partie, il y toujours un message qui dit qu'il ya une erreur dans le fichier</t>
  </si>
  <si>
    <t>Marche pas, mon âge est ABCDE</t>
  </si>
  <si>
    <t>L'apparence ne change pas, mais il est bien désactivé</t>
  </si>
  <si>
    <t>non les points ne sont pas enlevés lorsqu'on joue certaines cartes actions</t>
  </si>
  <si>
    <t>À certains endroits, le curseur ne change pas (par exemple: Lorsqu'on mange un invertébré)</t>
  </si>
  <si>
    <t>Parfois, lorsque plusieurs invertébrés se trouvent chez un adversaire, je suis incapable de manger un invertébré, et ce, même si sa taille est inférieur</t>
  </si>
  <si>
    <t>Après avoir jouée la carte naturalisation, la carte intervention est ajoutée dans la main et le tour continue</t>
  </si>
  <si>
    <t>ok, mais je n'ai pas compris pourquoi cette carte m'a demandé de choisir un joueur? Ensuite, la carte est restée sur la carte que j'avais choisie, ça a consommé mes points ressources et une copie de la carte "Passage de tout terrain" est revenue dans ma main</t>
  </si>
  <si>
    <t>Ne disparait jamais</t>
  </si>
  <si>
    <t>*AJOUTÉ* Nombre de cartes à défausser</t>
  </si>
  <si>
    <t xml:space="preserve">Le nombre de cartes à défausser est clair </t>
  </si>
  <si>
    <t>Ce n'est pas toujours clair</t>
  </si>
  <si>
    <t>Un pop-up m'a informé qu'il n'y avait pas de déchets en jeu, mais s'est tout de même défaussée.</t>
  </si>
  <si>
    <t>ok, mais ne contient pas les cartes pigées après avoir défaussé les cartes (je ne sais pas si c'est voulu)</t>
  </si>
  <si>
    <t>Ne fonctionne pas (Uncaught TypeError: Cannot read property '8' of undefined(…) )</t>
  </si>
  <si>
    <t>Pas de deuxième pop-up</t>
  </si>
  <si>
    <t>Ne fonctionne pas</t>
  </si>
  <si>
    <t>ok, mais les pop-up s'empilent (Je ne sais pas si c'est voulu)</t>
  </si>
  <si>
    <t>ok, mais si je tente d'ajouter une quatrième je ne récupère pas ma carte après l'avertisement</t>
  </si>
  <si>
    <t>Ne peut pas sélectionner cette option…</t>
  </si>
  <si>
    <t>Ne peut pas tester…</t>
  </si>
  <si>
    <t>sb</t>
  </si>
  <si>
    <t>ac</t>
  </si>
  <si>
    <t>Fonctionnais parfaitement sur chrome et edge.</t>
  </si>
  <si>
    <t>Voulu</t>
  </si>
  <si>
    <t>voulu</t>
  </si>
  <si>
    <t>Ajouter le niveau de la difficulte</t>
  </si>
  <si>
    <t>Ajouter le nom sous chaque emplacement du bas.</t>
  </si>
  <si>
    <t>Tester ET la carte déchets fonctionne.</t>
  </si>
  <si>
    <t>Ceci ne fonctionnais pas mais seulement à 2 joueurs, il est maintenant regler.</t>
  </si>
  <si>
    <t>En réglant les perturbation, cela c'est regler.</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</si>
</sst>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C0C]d\ mmm\ yyyy;@"/>
    <numFmt numFmtId="165" formatCode="000\.000"/>
  </numFmts>
  <fonts count="14" x14ac:knownFonts="1">
    <font>
      <sz val="10"/>
      <name val="Arial"/>
    </font>
    <font>
      <sz val="10"/>
      <name val="Arial"/>
      <family val="2"/>
    </font>
    <font>
      <sz val="8"/>
      <name val="Arial"/>
      <family val="2"/>
    </font>
    <font>
      <b/>
      <sz val="10"/>
      <name val="Arial"/>
      <family val="2"/>
    </font>
    <font>
      <i/>
      <sz val="10"/>
      <name val="Arial"/>
      <family val="2"/>
    </font>
    <font>
      <sz val="10"/>
      <name val="Arial"/>
      <family val="2"/>
    </font>
    <font>
      <sz val="9"/>
      <color indexed="9"/>
      <name val="Arial"/>
      <family val="2"/>
    </font>
    <font>
      <sz val="8"/>
      <color indexed="9"/>
      <name val="Arial"/>
      <family val="2"/>
    </font>
    <font>
      <b/>
      <sz val="10"/>
      <color theme="0"/>
      <name val="Arial"/>
      <family val="2"/>
    </font>
    <font>
      <sz val="8"/>
      <color theme="0"/>
      <name val="Arial"/>
      <family val="2"/>
    </font>
    <font>
      <b/>
      <sz val="12"/>
      <color theme="6" tint="-0.499984740745262"/>
      <name val="Arial"/>
      <family val="2"/>
    </font>
    <font>
      <sz val="10"/>
      <color theme="6" tint="-0.499984740745262"/>
      <name val="Arial"/>
      <family val="2"/>
    </font>
    <font>
      <sz val="9"/>
      <color rgb="FF000000"/>
      <name val="Arial"/>
      <family val="2"/>
    </font>
    <font>
      <b/>
      <sz val="10"/>
      <color theme="6" tint="-0.499984740745262"/>
      <name val="Arial"/>
      <family val="2"/>
    </font>
  </fonts>
  <fills count="5">
    <fill>
      <patternFill patternType="none"/>
    </fill>
    <fill>
      <patternFill patternType="gray125"/>
    </fill>
    <fill>
      <patternFill patternType="solid">
        <fgColor theme="6" tint="-0.249977111117893"/>
        <bgColor indexed="64"/>
      </patternFill>
    </fill>
    <fill>
      <patternFill patternType="solid">
        <fgColor rgb="FFF0EEE5"/>
        <bgColor indexed="64"/>
      </patternFill>
    </fill>
    <fill>
      <patternFill patternType="solid">
        <fgColor rgb="FFFFFF00"/>
        <bgColor indexed="64"/>
      </patternFill>
    </fill>
  </fills>
  <borders count="6">
    <border>
      <left/>
      <right/>
      <top/>
      <bottom/>
      <diagonal/>
    </border>
    <border>
      <left style="thin">
        <color indexed="22"/>
      </left>
      <right style="thin">
        <color indexed="22"/>
      </right>
      <top style="thin">
        <color indexed="22"/>
      </top>
      <bottom style="thin">
        <color indexed="22"/>
      </bottom>
      <diagonal/>
    </border>
    <border>
      <left/>
      <right/>
      <top/>
      <bottom style="thin">
        <color indexed="22"/>
      </bottom>
      <diagonal/>
    </border>
    <border>
      <left style="thin">
        <color theme="2" tint="-9.9948118533890809E-2"/>
      </left>
      <right style="thin">
        <color theme="2" tint="-9.9948118533890809E-2"/>
      </right>
      <top style="thin">
        <color theme="2" tint="-9.9948118533890809E-2"/>
      </top>
      <bottom style="thin">
        <color theme="2" tint="-9.9948118533890809E-2"/>
      </bottom>
      <diagonal/>
    </border>
    <border>
      <left style="thin">
        <color theme="2" tint="-9.9948118533890809E-2"/>
      </left>
      <right/>
      <top style="thin">
        <color theme="2" tint="-9.9948118533890809E-2"/>
      </top>
      <bottom style="thin">
        <color theme="2" tint="-9.9948118533890809E-2"/>
      </bottom>
      <diagonal/>
    </border>
    <border>
      <left/>
      <right style="thin">
        <color theme="2" tint="-9.9948118533890809E-2"/>
      </right>
      <top style="thin">
        <color theme="2" tint="-9.9948118533890809E-2"/>
      </top>
      <bottom style="thin">
        <color theme="2" tint="-9.9948118533890809E-2"/>
      </bottom>
      <diagonal/>
    </border>
  </borders>
  <cellStyleXfs count="2">
    <xf numFmtId="0" fontId="0" fillId="0" borderId="0"/>
    <xf numFmtId="9" fontId="1" fillId="0" borderId="0" applyFont="0" applyFill="0" applyBorder="0" applyAlignment="0" applyProtection="0"/>
  </cellStyleXfs>
  <cellXfs count="52">
    <xf numFmtId="0" fontId="0" fillId="0" borderId="0" xfId="0"/>
    <xf numFmtId="0" fontId="3" fillId="0" borderId="0" xfId="0" applyFont="1" applyAlignment="1">
      <alignment wrapText="1"/>
    </xf>
    <xf numFmtId="0" fontId="0" fillId="0" borderId="1" xfId="0" applyBorder="1" applyAlignment="1">
      <alignment vertical="top" wrapText="1"/>
    </xf>
    <xf numFmtId="164" fontId="0" fillId="0" borderId="0" xfId="0" applyNumberFormat="1" applyAlignment="1">
      <alignment horizontal="left"/>
    </xf>
    <xf numFmtId="0" fontId="0" fillId="0" borderId="0" xfId="0" applyAlignment="1">
      <alignment wrapText="1"/>
    </xf>
    <xf numFmtId="0" fontId="0" fillId="0" borderId="0" xfId="0" applyNumberFormat="1" applyAlignment="1">
      <alignment horizontal="left"/>
    </xf>
    <xf numFmtId="164" fontId="0" fillId="0" borderId="1" xfId="0" applyNumberFormat="1" applyBorder="1" applyAlignment="1">
      <alignment vertical="top" wrapText="1"/>
    </xf>
    <xf numFmtId="9" fontId="4" fillId="0" borderId="0" xfId="1" applyFont="1" applyAlignment="1">
      <alignment horizontal="left"/>
    </xf>
    <xf numFmtId="0" fontId="0" fillId="0" borderId="0" xfId="1" applyNumberFormat="1" applyFont="1" applyAlignment="1">
      <alignment horizontal="center"/>
    </xf>
    <xf numFmtId="0" fontId="0" fillId="0" borderId="0" xfId="0" applyAlignment="1">
      <alignment horizontal="center"/>
    </xf>
    <xf numFmtId="0" fontId="0" fillId="0" borderId="1" xfId="0" applyBorder="1" applyAlignment="1">
      <alignment horizontal="center" vertical="top" wrapText="1"/>
    </xf>
    <xf numFmtId="0" fontId="0" fillId="0" borderId="0" xfId="0" applyNumberFormat="1" applyAlignment="1">
      <alignment horizontal="center"/>
    </xf>
    <xf numFmtId="164" fontId="0" fillId="0" borderId="0" xfId="0" applyNumberFormat="1" applyAlignment="1">
      <alignment horizontal="center"/>
    </xf>
    <xf numFmtId="0" fontId="5" fillId="0" borderId="0" xfId="0" applyFont="1"/>
    <xf numFmtId="0" fontId="8" fillId="2" borderId="1" xfId="0" applyFont="1" applyFill="1" applyBorder="1" applyAlignment="1">
      <alignment wrapText="1"/>
    </xf>
    <xf numFmtId="0" fontId="8" fillId="2" borderId="1" xfId="0" applyFont="1" applyFill="1" applyBorder="1" applyAlignment="1">
      <alignment vertical="center" textRotation="180" wrapText="1"/>
    </xf>
    <xf numFmtId="0" fontId="8" fillId="2" borderId="1" xfId="0" applyFont="1" applyFill="1" applyBorder="1" applyAlignment="1">
      <alignment horizontal="center" wrapText="1"/>
    </xf>
    <xf numFmtId="164" fontId="8" fillId="2" borderId="1" xfId="0" applyNumberFormat="1" applyFont="1" applyFill="1" applyBorder="1" applyAlignment="1">
      <alignment horizontal="left" wrapText="1"/>
    </xf>
    <xf numFmtId="0" fontId="8" fillId="2" borderId="1" xfId="0" applyNumberFormat="1" applyFont="1" applyFill="1" applyBorder="1" applyAlignment="1">
      <alignment horizontal="left" wrapText="1"/>
    </xf>
    <xf numFmtId="0" fontId="8" fillId="2" borderId="1" xfId="0" applyNumberFormat="1" applyFont="1" applyFill="1" applyBorder="1" applyAlignment="1">
      <alignment horizontal="center" wrapText="1"/>
    </xf>
    <xf numFmtId="164" fontId="8" fillId="2" borderId="1" xfId="0" applyNumberFormat="1" applyFont="1" applyFill="1" applyBorder="1" applyAlignment="1">
      <alignment horizontal="center" wrapText="1"/>
    </xf>
    <xf numFmtId="0" fontId="5" fillId="0" borderId="1" xfId="0" applyFont="1" applyBorder="1" applyAlignment="1">
      <alignment vertical="top" wrapText="1"/>
    </xf>
    <xf numFmtId="0" fontId="5" fillId="0" borderId="1" xfId="0" applyFont="1" applyBorder="1" applyAlignment="1">
      <alignment horizontal="center" vertical="top" wrapText="1"/>
    </xf>
    <xf numFmtId="0" fontId="4" fillId="0" borderId="0" xfId="0" applyFont="1" applyAlignment="1">
      <alignment horizontal="left"/>
    </xf>
    <xf numFmtId="0" fontId="10" fillId="0" borderId="0" xfId="0" applyFont="1"/>
    <xf numFmtId="0" fontId="11" fillId="0" borderId="0" xfId="0" applyFont="1" applyAlignment="1">
      <alignment wrapText="1"/>
    </xf>
    <xf numFmtId="0" fontId="1" fillId="0" borderId="0" xfId="0" applyFont="1"/>
    <xf numFmtId="0" fontId="1" fillId="0" borderId="1" xfId="0" applyFont="1" applyBorder="1" applyAlignment="1">
      <alignment vertical="top" wrapText="1"/>
    </xf>
    <xf numFmtId="0" fontId="1" fillId="0" borderId="1" xfId="0" applyFont="1" applyBorder="1" applyAlignment="1">
      <alignment horizontal="center" vertical="top" wrapText="1"/>
    </xf>
    <xf numFmtId="165" fontId="5" fillId="0" borderId="1" xfId="0" applyNumberFormat="1" applyFont="1" applyBorder="1" applyAlignment="1">
      <alignment horizontal="left" vertical="top" wrapText="1"/>
    </xf>
    <xf numFmtId="165" fontId="1" fillId="0" borderId="1" xfId="0" applyNumberFormat="1" applyFont="1" applyBorder="1" applyAlignment="1">
      <alignment vertical="top" wrapText="1"/>
    </xf>
    <xf numFmtId="0" fontId="1" fillId="0" borderId="1" xfId="0" applyNumberFormat="1" applyFont="1" applyBorder="1" applyAlignment="1">
      <alignment vertical="top" wrapText="1"/>
    </xf>
    <xf numFmtId="0" fontId="4" fillId="0" borderId="0" xfId="0" applyFont="1" applyAlignment="1">
      <alignment horizontal="right"/>
    </xf>
    <xf numFmtId="0" fontId="4" fillId="0" borderId="0" xfId="1" applyNumberFormat="1" applyFont="1" applyAlignment="1">
      <alignment horizontal="right"/>
    </xf>
    <xf numFmtId="0" fontId="0" fillId="0" borderId="0" xfId="0" applyAlignment="1">
      <alignment horizontal="center" wrapText="1"/>
    </xf>
    <xf numFmtId="0" fontId="0" fillId="0" borderId="0" xfId="0" applyAlignment="1"/>
    <xf numFmtId="0" fontId="0" fillId="0" borderId="0" xfId="0" applyAlignment="1">
      <alignment horizontal="right"/>
    </xf>
    <xf numFmtId="0" fontId="1" fillId="0" borderId="0" xfId="0" applyFont="1" applyAlignment="1">
      <alignment horizontal="right"/>
    </xf>
    <xf numFmtId="0" fontId="0" fillId="0" borderId="0" xfId="0" applyAlignment="1">
      <alignment horizontal="right" wrapText="1"/>
    </xf>
    <xf numFmtId="0" fontId="0" fillId="0" borderId="2" xfId="0" applyBorder="1" applyAlignment="1"/>
    <xf numFmtId="0" fontId="0" fillId="0" borderId="2" xfId="0" applyBorder="1" applyAlignment="1">
      <alignment horizontal="left"/>
    </xf>
    <xf numFmtId="0" fontId="1" fillId="3" borderId="3" xfId="0" applyFont="1" applyFill="1" applyBorder="1" applyAlignment="1">
      <alignment horizontal="left"/>
    </xf>
    <xf numFmtId="0" fontId="10" fillId="0" borderId="0" xfId="0" applyFont="1" applyAlignment="1">
      <alignment vertical="center"/>
    </xf>
    <xf numFmtId="0" fontId="1" fillId="0" borderId="0" xfId="0" applyFont="1" applyAlignment="1">
      <alignment horizontal="left" indent="1"/>
    </xf>
    <xf numFmtId="0" fontId="1" fillId="0" borderId="0" xfId="0" applyNumberFormat="1" applyFont="1" applyAlignment="1">
      <alignment horizontal="right"/>
    </xf>
    <xf numFmtId="165" fontId="1" fillId="0" borderId="1" xfId="0" applyNumberFormat="1" applyFont="1" applyBorder="1" applyAlignment="1">
      <alignment horizontal="left" vertical="top" wrapText="1"/>
    </xf>
    <xf numFmtId="165" fontId="1" fillId="4" borderId="1" xfId="0" applyNumberFormat="1" applyFont="1" applyFill="1" applyBorder="1" applyAlignment="1">
      <alignment horizontal="left" vertical="top" wrapText="1"/>
    </xf>
    <xf numFmtId="0" fontId="1" fillId="4" borderId="1" xfId="0" applyFont="1" applyFill="1" applyBorder="1" applyAlignment="1">
      <alignment vertical="top" wrapText="1"/>
    </xf>
    <xf numFmtId="0" fontId="1" fillId="4" borderId="1" xfId="0" applyFont="1" applyFill="1" applyBorder="1" applyAlignment="1">
      <alignment horizontal="center" vertical="top" wrapText="1"/>
    </xf>
    <xf numFmtId="0" fontId="0" fillId="4" borderId="1" xfId="0" applyFill="1" applyBorder="1" applyAlignment="1">
      <alignment vertical="top" wrapText="1"/>
    </xf>
    <xf numFmtId="0" fontId="13" fillId="3" borderId="4" xfId="0" applyFont="1" applyFill="1" applyBorder="1" applyAlignment="1">
      <alignment horizontal="left"/>
    </xf>
    <xf numFmtId="0" fontId="13" fillId="3" borderId="5" xfId="0" applyFont="1" applyFill="1" applyBorder="1" applyAlignment="1">
      <alignment horizontal="left"/>
    </xf>
  </cellXfs>
  <cellStyles count="2">
    <cellStyle name="Normal" xfId="0" builtinId="0"/>
    <cellStyle name="Pourcentage" xfId="1" builtinId="5"/>
  </cellStyles>
  <dxfs count="30">
    <dxf>
      <font>
        <b/>
        <i val="0"/>
        <condense val="0"/>
        <extend val="0"/>
      </font>
      <fill>
        <patternFill>
          <bgColor theme="6" tint="0.39994506668294322"/>
        </patternFill>
      </fill>
      <border>
        <left/>
        <right/>
        <top style="thin">
          <color indexed="64"/>
        </top>
        <bottom style="thin">
          <color indexed="64"/>
        </bottom>
      </border>
    </dxf>
    <dxf>
      <font>
        <strike val="0"/>
        <condense val="0"/>
        <extend val="0"/>
        <color indexed="22"/>
      </font>
    </dxf>
    <dxf>
      <fill>
        <patternFill>
          <bgColor theme="5" tint="0.39994506668294322"/>
        </patternFill>
      </fill>
    </dxf>
    <dxf>
      <font>
        <b/>
        <i val="0"/>
        <condense val="0"/>
        <extend val="0"/>
      </font>
      <fill>
        <patternFill>
          <bgColor theme="6" tint="0.39994506668294322"/>
        </patternFill>
      </fill>
      <border>
        <left/>
        <right/>
        <top style="thin">
          <color indexed="64"/>
        </top>
        <bottom style="thin">
          <color indexed="64"/>
        </bottom>
      </border>
    </dxf>
    <dxf>
      <font>
        <strike val="0"/>
        <condense val="0"/>
        <extend val="0"/>
        <color indexed="22"/>
      </font>
    </dxf>
    <dxf>
      <fill>
        <patternFill>
          <bgColor theme="5" tint="0.39994506668294322"/>
        </patternFill>
      </fill>
    </dxf>
    <dxf>
      <font>
        <b/>
        <i val="0"/>
        <condense val="0"/>
        <extend val="0"/>
      </font>
      <fill>
        <patternFill>
          <bgColor theme="6" tint="0.39994506668294322"/>
        </patternFill>
      </fill>
      <border>
        <left/>
        <right/>
        <top style="thin">
          <color indexed="64"/>
        </top>
        <bottom style="thin">
          <color indexed="64"/>
        </bottom>
      </border>
    </dxf>
    <dxf>
      <font>
        <strike val="0"/>
        <condense val="0"/>
        <extend val="0"/>
        <color indexed="22"/>
      </font>
    </dxf>
    <dxf>
      <fill>
        <patternFill>
          <bgColor theme="5" tint="0.39994506668294322"/>
        </patternFill>
      </fill>
    </dxf>
    <dxf>
      <font>
        <b/>
        <i val="0"/>
        <condense val="0"/>
        <extend val="0"/>
      </font>
      <fill>
        <patternFill>
          <bgColor theme="6" tint="0.39994506668294322"/>
        </patternFill>
      </fill>
      <border>
        <left/>
        <right/>
        <top style="thin">
          <color indexed="64"/>
        </top>
        <bottom style="thin">
          <color indexed="64"/>
        </bottom>
      </border>
    </dxf>
    <dxf>
      <font>
        <strike val="0"/>
        <condense val="0"/>
        <extend val="0"/>
        <color indexed="22"/>
      </font>
    </dxf>
    <dxf>
      <fill>
        <patternFill>
          <bgColor theme="5" tint="0.39994506668294322"/>
        </patternFill>
      </fill>
    </dxf>
    <dxf>
      <font>
        <b/>
        <i val="0"/>
        <condense val="0"/>
        <extend val="0"/>
      </font>
      <fill>
        <patternFill>
          <bgColor theme="6" tint="0.39994506668294322"/>
        </patternFill>
      </fill>
      <border>
        <left/>
        <right/>
        <top style="thin">
          <color indexed="64"/>
        </top>
        <bottom style="thin">
          <color indexed="64"/>
        </bottom>
      </border>
    </dxf>
    <dxf>
      <font>
        <strike val="0"/>
        <condense val="0"/>
        <extend val="0"/>
        <color indexed="22"/>
      </font>
    </dxf>
    <dxf>
      <fill>
        <patternFill>
          <bgColor theme="5" tint="0.39994506668294322"/>
        </patternFill>
      </fill>
    </dxf>
    <dxf>
      <font>
        <b/>
        <i val="0"/>
        <condense val="0"/>
        <extend val="0"/>
      </font>
      <fill>
        <patternFill>
          <bgColor theme="6" tint="0.39994506668294322"/>
        </patternFill>
      </fill>
      <border>
        <left/>
        <right/>
        <top style="thin">
          <color indexed="64"/>
        </top>
        <bottom style="thin">
          <color indexed="64"/>
        </bottom>
      </border>
    </dxf>
    <dxf>
      <font>
        <strike val="0"/>
        <condense val="0"/>
        <extend val="0"/>
        <color indexed="22"/>
      </font>
    </dxf>
    <dxf>
      <fill>
        <patternFill>
          <bgColor theme="5" tint="0.39994506668294322"/>
        </patternFill>
      </fill>
    </dxf>
    <dxf>
      <font>
        <b/>
        <i val="0"/>
        <condense val="0"/>
        <extend val="0"/>
      </font>
      <fill>
        <patternFill>
          <bgColor theme="6" tint="0.39994506668294322"/>
        </patternFill>
      </fill>
      <border>
        <left/>
        <right/>
        <top style="thin">
          <color indexed="64"/>
        </top>
        <bottom style="thin">
          <color indexed="64"/>
        </bottom>
      </border>
    </dxf>
    <dxf>
      <font>
        <strike val="0"/>
        <condense val="0"/>
        <extend val="0"/>
        <color indexed="22"/>
      </font>
    </dxf>
    <dxf>
      <fill>
        <patternFill>
          <bgColor theme="5" tint="0.39994506668294322"/>
        </patternFill>
      </fill>
    </dxf>
    <dxf>
      <font>
        <b/>
        <i val="0"/>
        <condense val="0"/>
        <extend val="0"/>
      </font>
      <fill>
        <patternFill>
          <bgColor theme="6" tint="0.39994506668294322"/>
        </patternFill>
      </fill>
      <border>
        <left/>
        <right/>
        <top style="thin">
          <color indexed="64"/>
        </top>
        <bottom style="thin">
          <color indexed="64"/>
        </bottom>
      </border>
    </dxf>
    <dxf>
      <font>
        <strike val="0"/>
        <condense val="0"/>
        <extend val="0"/>
        <color indexed="22"/>
      </font>
    </dxf>
    <dxf>
      <fill>
        <patternFill>
          <bgColor theme="5" tint="0.39994506668294322"/>
        </patternFill>
      </fill>
    </dxf>
    <dxf>
      <font>
        <b/>
        <i val="0"/>
        <condense val="0"/>
        <extend val="0"/>
      </font>
      <fill>
        <patternFill>
          <bgColor theme="6" tint="0.39994506668294322"/>
        </patternFill>
      </fill>
      <border>
        <left/>
        <right/>
        <top style="thin">
          <color indexed="64"/>
        </top>
        <bottom style="thin">
          <color indexed="64"/>
        </bottom>
      </border>
    </dxf>
    <dxf>
      <font>
        <strike val="0"/>
        <condense val="0"/>
        <extend val="0"/>
        <color indexed="22"/>
      </font>
    </dxf>
    <dxf>
      <font>
        <b/>
        <i val="0"/>
        <condense val="0"/>
        <extend val="0"/>
      </font>
      <fill>
        <patternFill>
          <bgColor theme="6" tint="0.39994506668294322"/>
        </patternFill>
      </fill>
      <border>
        <left/>
        <right/>
        <top style="thin">
          <color indexed="64"/>
        </top>
        <bottom style="thin">
          <color indexed="64"/>
        </bottom>
      </border>
    </dxf>
    <dxf>
      <fill>
        <patternFill>
          <bgColor theme="5" tint="0.39994506668294322"/>
        </patternFill>
      </fill>
    </dxf>
    <dxf>
      <font>
        <strike val="0"/>
        <condense val="0"/>
        <extend val="0"/>
        <color indexed="22"/>
      </font>
    </dxf>
    <dxf>
      <fill>
        <patternFill>
          <bgColor theme="5" tint="0.39994506668294322"/>
        </patternFill>
      </fill>
    </dxf>
  </dxfs>
  <tableStyles count="0" defaultTableStyle="TableStyleMedium9" defaultPivotStyle="PivotStyleLight16"/>
  <colors>
    <mruColors>
      <color rgb="FFF0EEE5"/>
      <color rgb="FFFFFF66"/>
      <color rgb="FFB4C604"/>
      <color rgb="FF9FA3F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38100</xdr:colOff>
          <xdr:row>6</xdr:row>
          <xdr:rowOff>57150</xdr:rowOff>
        </xdr:from>
        <xdr:to>
          <xdr:col>7</xdr:col>
          <xdr:colOff>800100</xdr:colOff>
          <xdr:row>6</xdr:row>
          <xdr:rowOff>257175</xdr:rowOff>
        </xdr:to>
        <xdr:sp macro="" textlink="">
          <xdr:nvSpPr>
            <xdr:cNvPr id="1028" name="Button 4" hidden="1">
              <a:extLst>
                <a:ext uri="{63B3BB69-23CF-44E3-9099-C40C66FF867C}">
                  <a14:compatExt spid="_x0000_s102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CA" sz="900" b="0" i="0" u="none" strike="noStrike" baseline="0">
                  <a:solidFill>
                    <a:srgbClr val="000000"/>
                  </a:solidFill>
                  <a:latin typeface="Arial"/>
                  <a:cs typeface="Arial"/>
                </a:rPr>
                <a:t>Date du jour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38100</xdr:colOff>
          <xdr:row>6</xdr:row>
          <xdr:rowOff>304800</xdr:rowOff>
        </xdr:from>
        <xdr:to>
          <xdr:col>12</xdr:col>
          <xdr:colOff>800100</xdr:colOff>
          <xdr:row>6</xdr:row>
          <xdr:rowOff>504825</xdr:rowOff>
        </xdr:to>
        <xdr:sp macro="" textlink="">
          <xdr:nvSpPr>
            <xdr:cNvPr id="1029" name="Button 5" hidden="1">
              <a:extLst>
                <a:ext uri="{63B3BB69-23CF-44E3-9099-C40C66FF867C}">
                  <a14:compatExt spid="_x0000_s102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CA" sz="900" b="0" i="0" u="none" strike="noStrike" baseline="0">
                  <a:solidFill>
                    <a:srgbClr val="000000"/>
                  </a:solidFill>
                  <a:latin typeface="Arial"/>
                  <a:cs typeface="Arial"/>
                </a:rPr>
                <a:t>Date du jour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28575</xdr:colOff>
          <xdr:row>6</xdr:row>
          <xdr:rowOff>57150</xdr:rowOff>
        </xdr:from>
        <xdr:to>
          <xdr:col>5</xdr:col>
          <xdr:colOff>790575</xdr:colOff>
          <xdr:row>6</xdr:row>
          <xdr:rowOff>257175</xdr:rowOff>
        </xdr:to>
        <xdr:sp macro="" textlink="">
          <xdr:nvSpPr>
            <xdr:cNvPr id="1031" name="Button 7" hidden="1">
              <a:extLst>
                <a:ext uri="{63B3BB69-23CF-44E3-9099-C40C66FF867C}">
                  <a14:compatExt spid="_x0000_s103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CA" sz="900" b="0" i="0" u="none" strike="noStrike" baseline="0">
                  <a:solidFill>
                    <a:srgbClr val="000000"/>
                  </a:solidFill>
                  <a:latin typeface="Arial"/>
                  <a:cs typeface="Arial"/>
                </a:rPr>
                <a:t>Cacher ok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819150</xdr:colOff>
          <xdr:row>6</xdr:row>
          <xdr:rowOff>57150</xdr:rowOff>
        </xdr:from>
        <xdr:to>
          <xdr:col>5</xdr:col>
          <xdr:colOff>1581150</xdr:colOff>
          <xdr:row>6</xdr:row>
          <xdr:rowOff>257175</xdr:rowOff>
        </xdr:to>
        <xdr:sp macro="" textlink="">
          <xdr:nvSpPr>
            <xdr:cNvPr id="1032" name="Button 8" hidden="1">
              <a:extLst>
                <a:ext uri="{63B3BB69-23CF-44E3-9099-C40C66FF867C}">
                  <a14:compatExt spid="_x0000_s103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CA" sz="900" b="0" i="0" u="none" strike="noStrike" baseline="0">
                  <a:solidFill>
                    <a:srgbClr val="000000"/>
                  </a:solidFill>
                  <a:latin typeface="Arial"/>
                  <a:cs typeface="Arial"/>
                </a:rPr>
                <a:t>Afficher tout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6</xdr:row>
          <xdr:rowOff>57150</xdr:rowOff>
        </xdr:from>
        <xdr:to>
          <xdr:col>0</xdr:col>
          <xdr:colOff>476250</xdr:colOff>
          <xdr:row>6</xdr:row>
          <xdr:rowOff>266700</xdr:rowOff>
        </xdr:to>
        <xdr:sp macro="" textlink="">
          <xdr:nvSpPr>
            <xdr:cNvPr id="1033" name="Button 9" hidden="1">
              <a:extLst>
                <a:ext uri="{63B3BB69-23CF-44E3-9099-C40C66FF867C}">
                  <a14:compatExt spid="_x0000_s103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CA" sz="900" b="0" i="0" u="none" strike="noStrike" baseline="0">
                  <a:solidFill>
                    <a:srgbClr val="000000"/>
                  </a:solidFill>
                  <a:latin typeface="Arial"/>
                  <a:cs typeface="Arial"/>
                </a:rPr>
                <a:t>Trier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38100</xdr:colOff>
          <xdr:row>6</xdr:row>
          <xdr:rowOff>57150</xdr:rowOff>
        </xdr:from>
        <xdr:to>
          <xdr:col>9</xdr:col>
          <xdr:colOff>457200</xdr:colOff>
          <xdr:row>6</xdr:row>
          <xdr:rowOff>266700</xdr:rowOff>
        </xdr:to>
        <xdr:sp macro="" textlink="">
          <xdr:nvSpPr>
            <xdr:cNvPr id="1034" name="Button 10" hidden="1">
              <a:extLst>
                <a:ext uri="{63B3BB69-23CF-44E3-9099-C40C66FF867C}">
                  <a14:compatExt spid="_x0000_s103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CA" sz="900" b="0" i="0" u="none" strike="noStrike" baseline="0">
                  <a:solidFill>
                    <a:srgbClr val="000000"/>
                  </a:solidFill>
                  <a:latin typeface="Arial"/>
                  <a:cs typeface="Arial"/>
                </a:rPr>
                <a:t>Trier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38100</xdr:colOff>
          <xdr:row>6</xdr:row>
          <xdr:rowOff>57150</xdr:rowOff>
        </xdr:from>
        <xdr:to>
          <xdr:col>12</xdr:col>
          <xdr:colOff>800100</xdr:colOff>
          <xdr:row>6</xdr:row>
          <xdr:rowOff>266700</xdr:rowOff>
        </xdr:to>
        <xdr:sp macro="" textlink="">
          <xdr:nvSpPr>
            <xdr:cNvPr id="1035" name="Button 11" hidden="1">
              <a:extLst>
                <a:ext uri="{63B3BB69-23CF-44E3-9099-C40C66FF867C}">
                  <a14:compatExt spid="_x0000_s103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CA" sz="900" b="0" i="0" u="none" strike="noStrike" baseline="0">
                  <a:solidFill>
                    <a:srgbClr val="000000"/>
                  </a:solidFill>
                  <a:latin typeface="Arial"/>
                  <a:cs typeface="Arial"/>
                </a:rPr>
                <a:t>Trier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38100</xdr:colOff>
          <xdr:row>6</xdr:row>
          <xdr:rowOff>57150</xdr:rowOff>
        </xdr:from>
        <xdr:to>
          <xdr:col>10</xdr:col>
          <xdr:colOff>400050</xdr:colOff>
          <xdr:row>6</xdr:row>
          <xdr:rowOff>266700</xdr:rowOff>
        </xdr:to>
        <xdr:sp macro="" textlink="">
          <xdr:nvSpPr>
            <xdr:cNvPr id="1036" name="Button 12" hidden="1">
              <a:extLst>
                <a:ext uri="{63B3BB69-23CF-44E3-9099-C40C66FF867C}">
                  <a14:compatExt spid="_x0000_s103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CA" sz="900" b="0" i="0" u="none" strike="noStrike" baseline="0">
                  <a:solidFill>
                    <a:srgbClr val="000000"/>
                  </a:solidFill>
                  <a:latin typeface="Arial"/>
                  <a:cs typeface="Arial"/>
                </a:rPr>
                <a:t>Trier</a:t>
              </a:r>
            </a:p>
          </xdr:txBody>
        </xdr:sp>
        <xdr:clientData fPrintsWithSheet="0"/>
      </xdr:twoCellAnchor>
    </mc:Choice>
    <mc:Fallback/>
  </mc:AlternateContent>
</xdr:wsDr>
</file>

<file path=xl/theme/theme1.xml><?xml version="1.0" encoding="utf-8"?>
<a:theme xmlns:a="http://schemas.openxmlformats.org/drawingml/2006/main" name="Thèm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1">
    <pageSetUpPr fitToPage="1"/>
  </sheetPr>
  <dimension ref="A1:N555"/>
  <sheetViews>
    <sheetView tabSelected="1" zoomScaleNormal="100" workbookViewId="0">
      <pane ySplit="7" topLeftCell="A158" activePane="bottomLeft" state="frozen"/>
      <selection pane="bottomLeft" activeCell="M161" sqref="M161"/>
    </sheetView>
  </sheetViews>
  <sheetFormatPr baseColWidth="10" defaultRowHeight="12.75" x14ac:dyDescent="0.2"/>
  <cols>
    <col min="1" max="1" width="10.140625" customWidth="1"/>
    <col min="2" max="2" width="29.28515625" style="4" customWidth="1"/>
    <col min="3" max="3" width="8.140625" style="34" customWidth="1"/>
    <col min="4" max="4" width="35.7109375" customWidth="1"/>
    <col min="5" max="5" width="3" customWidth="1"/>
    <col min="6" max="6" width="27.85546875" customWidth="1"/>
    <col min="7" max="7" width="6.140625" style="9" customWidth="1"/>
    <col min="8" max="8" width="12.28515625" style="3" customWidth="1"/>
    <col min="9" max="9" width="6.140625" style="9" customWidth="1"/>
    <col min="10" max="10" width="7.5703125" style="5" customWidth="1"/>
    <col min="11" max="11" width="6.42578125" style="11" customWidth="1"/>
    <col min="12" max="12" width="6.140625" style="12" customWidth="1"/>
    <col min="13" max="13" width="12.42578125" style="3" customWidth="1"/>
    <col min="14" max="14" width="28.28515625" customWidth="1"/>
    <col min="17" max="17" width="13.7109375" customWidth="1"/>
  </cols>
  <sheetData>
    <row r="1" spans="1:14" ht="15.75" x14ac:dyDescent="0.2">
      <c r="A1" s="42" t="s">
        <v>13</v>
      </c>
      <c r="B1" s="25"/>
      <c r="C1"/>
      <c r="E1" s="35"/>
      <c r="F1" s="44" t="s">
        <v>67</v>
      </c>
      <c r="G1" s="11">
        <f>COUNTA(D8:D223)</f>
        <v>182</v>
      </c>
      <c r="L1" s="9"/>
    </row>
    <row r="2" spans="1:14" x14ac:dyDescent="0.2">
      <c r="A2" s="50" t="s">
        <v>17</v>
      </c>
      <c r="B2" s="51"/>
      <c r="C2" s="36" t="s">
        <v>34</v>
      </c>
      <c r="D2" s="41" t="s">
        <v>36</v>
      </c>
      <c r="E2" s="35"/>
      <c r="F2" s="32" t="s">
        <v>0</v>
      </c>
      <c r="G2" s="7">
        <f>IF(COUNTA($F$8:$F$481)&gt;1,COUNTIF($F$8:$F$481,"ok")/(COUNTA($F$8:$F$481)-COUNTIF($F$8:$F$481,"na")),"---")</f>
        <v>0.7183908045977011</v>
      </c>
      <c r="I2" s="8"/>
      <c r="L2" s="9"/>
    </row>
    <row r="3" spans="1:14" x14ac:dyDescent="0.2">
      <c r="A3" s="26" t="s">
        <v>68</v>
      </c>
      <c r="B3" s="41" t="s">
        <v>410</v>
      </c>
      <c r="C3" s="36"/>
      <c r="D3" s="41" t="s">
        <v>37</v>
      </c>
      <c r="F3" s="33" t="s">
        <v>2</v>
      </c>
      <c r="G3" s="23">
        <f>COUNTA($F$8:$F$481)-COUNTIF($F$8:$F$481,"na")-COUNTIF($F$8:$F$481,"ok")</f>
        <v>49</v>
      </c>
      <c r="H3"/>
      <c r="I3"/>
      <c r="J3"/>
      <c r="L3" s="9"/>
    </row>
    <row r="4" spans="1:14" x14ac:dyDescent="0.2">
      <c r="A4" t="s">
        <v>40</v>
      </c>
      <c r="B4" s="41" t="s">
        <v>39</v>
      </c>
      <c r="C4" s="37" t="s">
        <v>35</v>
      </c>
      <c r="D4" s="41" t="s">
        <v>36</v>
      </c>
      <c r="E4" s="35"/>
      <c r="F4" s="33" t="s">
        <v>3</v>
      </c>
      <c r="G4" s="23">
        <f>G3-COUNTA(L8:L481)</f>
        <v>17</v>
      </c>
      <c r="I4" s="8"/>
      <c r="L4" s="9"/>
    </row>
    <row r="5" spans="1:14" x14ac:dyDescent="0.2">
      <c r="A5" t="s">
        <v>41</v>
      </c>
      <c r="B5" s="41" t="s">
        <v>38</v>
      </c>
      <c r="C5" s="36"/>
      <c r="D5" s="41" t="s">
        <v>37</v>
      </c>
      <c r="E5" s="35"/>
    </row>
    <row r="6" spans="1:14" x14ac:dyDescent="0.2">
      <c r="A6" s="13"/>
      <c r="C6" s="38"/>
      <c r="D6" s="40"/>
      <c r="E6" s="39"/>
    </row>
    <row r="7" spans="1:14" s="1" customFormat="1" ht="81.75" x14ac:dyDescent="0.2">
      <c r="A7" s="14" t="s">
        <v>16</v>
      </c>
      <c r="B7" s="14" t="s">
        <v>10</v>
      </c>
      <c r="C7" s="16" t="s">
        <v>32</v>
      </c>
      <c r="D7" s="14" t="s">
        <v>8</v>
      </c>
      <c r="E7" s="15" t="s">
        <v>1</v>
      </c>
      <c r="F7" s="14" t="s">
        <v>14</v>
      </c>
      <c r="G7" s="16" t="s">
        <v>9</v>
      </c>
      <c r="H7" s="17" t="s">
        <v>11</v>
      </c>
      <c r="I7" s="16" t="s">
        <v>4</v>
      </c>
      <c r="J7" s="18" t="s">
        <v>15</v>
      </c>
      <c r="K7" s="19" t="s">
        <v>31</v>
      </c>
      <c r="L7" s="20" t="s">
        <v>5</v>
      </c>
      <c r="M7" s="17" t="s">
        <v>7</v>
      </c>
      <c r="N7" s="17" t="s">
        <v>6</v>
      </c>
    </row>
    <row r="8" spans="1:14" x14ac:dyDescent="0.2">
      <c r="A8" s="45">
        <v>10000</v>
      </c>
      <c r="B8" s="27" t="s">
        <v>69</v>
      </c>
      <c r="C8" s="10"/>
      <c r="D8" s="2"/>
      <c r="E8" s="2"/>
      <c r="F8" s="2"/>
      <c r="G8" s="10"/>
      <c r="H8" s="6"/>
      <c r="I8" s="10"/>
      <c r="J8" s="2"/>
      <c r="K8" s="10"/>
      <c r="L8" s="10"/>
      <c r="M8" s="6"/>
      <c r="N8" s="2"/>
    </row>
    <row r="9" spans="1:14" ht="25.5" x14ac:dyDescent="0.2">
      <c r="A9" s="45">
        <v>10010</v>
      </c>
      <c r="B9" s="27" t="s">
        <v>70</v>
      </c>
      <c r="C9" s="28"/>
      <c r="D9" s="27" t="s">
        <v>71</v>
      </c>
      <c r="E9" s="27"/>
      <c r="F9" s="27" t="s">
        <v>417</v>
      </c>
      <c r="G9" s="28" t="s">
        <v>434</v>
      </c>
      <c r="H9" s="6">
        <v>42712</v>
      </c>
      <c r="I9" s="10"/>
      <c r="J9" s="2"/>
      <c r="K9" s="10"/>
      <c r="L9" s="28"/>
      <c r="M9" s="6"/>
      <c r="N9" s="2"/>
    </row>
    <row r="10" spans="1:14" ht="25.5" x14ac:dyDescent="0.2">
      <c r="A10" s="45">
        <v>10020</v>
      </c>
      <c r="B10" s="27" t="s">
        <v>72</v>
      </c>
      <c r="C10" s="28"/>
      <c r="D10" s="27" t="s">
        <v>73</v>
      </c>
      <c r="E10" s="27"/>
      <c r="F10" s="30" t="s">
        <v>417</v>
      </c>
      <c r="G10" s="28" t="s">
        <v>434</v>
      </c>
      <c r="H10" s="6">
        <v>42712</v>
      </c>
      <c r="I10" s="10"/>
      <c r="J10" s="2"/>
      <c r="K10" s="28"/>
      <c r="L10" s="28"/>
      <c r="M10" s="6"/>
      <c r="N10" s="2"/>
    </row>
    <row r="11" spans="1:14" ht="38.25" x14ac:dyDescent="0.2">
      <c r="A11" s="45">
        <v>10030</v>
      </c>
      <c r="B11" s="27" t="s">
        <v>74</v>
      </c>
      <c r="C11" s="28"/>
      <c r="D11" s="27" t="s">
        <v>75</v>
      </c>
      <c r="E11" s="2"/>
      <c r="F11" s="30" t="s">
        <v>417</v>
      </c>
      <c r="G11" s="28" t="s">
        <v>434</v>
      </c>
      <c r="H11" s="6">
        <v>42712</v>
      </c>
      <c r="I11" s="10"/>
      <c r="J11" s="2"/>
      <c r="K11" s="28"/>
      <c r="L11" s="28"/>
      <c r="M11" s="6"/>
      <c r="N11" s="2"/>
    </row>
    <row r="12" spans="1:14" ht="25.5" x14ac:dyDescent="0.2">
      <c r="A12" s="45">
        <v>10040</v>
      </c>
      <c r="B12" s="27" t="s">
        <v>76</v>
      </c>
      <c r="C12" s="28"/>
      <c r="D12" s="27" t="s">
        <v>77</v>
      </c>
      <c r="E12" s="2"/>
      <c r="F12" s="30" t="s">
        <v>417</v>
      </c>
      <c r="G12" s="28" t="s">
        <v>434</v>
      </c>
      <c r="H12" s="6">
        <v>42712</v>
      </c>
      <c r="I12" s="10"/>
      <c r="J12" s="2"/>
      <c r="K12" s="28"/>
      <c r="L12" s="28"/>
      <c r="M12" s="6"/>
      <c r="N12" s="2"/>
    </row>
    <row r="13" spans="1:14" ht="38.25" x14ac:dyDescent="0.2">
      <c r="A13" s="45">
        <v>10050</v>
      </c>
      <c r="B13" s="27" t="s">
        <v>78</v>
      </c>
      <c r="C13" s="28"/>
      <c r="D13" s="27" t="s">
        <v>79</v>
      </c>
      <c r="E13" s="2"/>
      <c r="F13" s="30" t="s">
        <v>417</v>
      </c>
      <c r="G13" s="28" t="s">
        <v>434</v>
      </c>
      <c r="H13" s="6">
        <v>42712</v>
      </c>
      <c r="I13" s="10"/>
      <c r="J13" s="2"/>
      <c r="K13" s="28"/>
      <c r="L13" s="28"/>
      <c r="M13" s="6"/>
      <c r="N13" s="2"/>
    </row>
    <row r="14" spans="1:14" ht="25.5" x14ac:dyDescent="0.2">
      <c r="A14" s="45">
        <v>10060</v>
      </c>
      <c r="B14" s="27" t="s">
        <v>80</v>
      </c>
      <c r="C14" s="28"/>
      <c r="D14" s="27" t="s">
        <v>81</v>
      </c>
      <c r="E14" s="2"/>
      <c r="F14" s="27" t="s">
        <v>417</v>
      </c>
      <c r="G14" s="28" t="s">
        <v>434</v>
      </c>
      <c r="H14" s="6">
        <v>42712</v>
      </c>
      <c r="I14" s="10"/>
      <c r="J14" s="2"/>
      <c r="K14" s="10"/>
      <c r="L14" s="28"/>
      <c r="M14" s="6"/>
      <c r="N14" s="2"/>
    </row>
    <row r="15" spans="1:14" x14ac:dyDescent="0.2">
      <c r="A15" s="45">
        <v>10070</v>
      </c>
      <c r="B15" s="27" t="s">
        <v>82</v>
      </c>
      <c r="C15" s="28"/>
      <c r="D15" s="27" t="s">
        <v>83</v>
      </c>
      <c r="E15" s="2"/>
      <c r="F15" s="27" t="s">
        <v>417</v>
      </c>
      <c r="G15" s="28" t="s">
        <v>434</v>
      </c>
      <c r="H15" s="6">
        <v>42712</v>
      </c>
      <c r="I15" s="10"/>
      <c r="J15" s="2"/>
      <c r="K15" s="10"/>
      <c r="L15" s="28"/>
      <c r="M15" s="6"/>
      <c r="N15" s="2"/>
    </row>
    <row r="16" spans="1:14" x14ac:dyDescent="0.2">
      <c r="A16" s="45">
        <v>10080</v>
      </c>
      <c r="B16" s="27" t="s">
        <v>84</v>
      </c>
      <c r="C16" s="28"/>
      <c r="D16" s="27" t="s">
        <v>85</v>
      </c>
      <c r="E16" s="2"/>
      <c r="F16" s="27" t="s">
        <v>417</v>
      </c>
      <c r="G16" s="28" t="s">
        <v>434</v>
      </c>
      <c r="H16" s="6">
        <v>42712</v>
      </c>
      <c r="I16" s="10"/>
      <c r="J16" s="2"/>
      <c r="K16" s="10"/>
      <c r="L16" s="28"/>
      <c r="M16" s="6"/>
      <c r="N16" s="2"/>
    </row>
    <row r="17" spans="1:14" ht="38.25" x14ac:dyDescent="0.2">
      <c r="A17" s="45">
        <v>10090</v>
      </c>
      <c r="B17" s="27" t="s">
        <v>86</v>
      </c>
      <c r="C17" s="28"/>
      <c r="D17" s="27" t="s">
        <v>87</v>
      </c>
      <c r="E17" s="2"/>
      <c r="F17" s="27" t="s">
        <v>417</v>
      </c>
      <c r="G17" s="28" t="s">
        <v>434</v>
      </c>
      <c r="H17" s="6">
        <v>42712</v>
      </c>
      <c r="I17" s="10"/>
      <c r="J17" s="2"/>
      <c r="K17" s="10"/>
      <c r="L17" s="28"/>
      <c r="M17" s="6"/>
      <c r="N17" s="2"/>
    </row>
    <row r="18" spans="1:14" ht="25.5" x14ac:dyDescent="0.2">
      <c r="A18" s="45">
        <v>10100</v>
      </c>
      <c r="B18" s="27" t="s">
        <v>88</v>
      </c>
      <c r="C18" s="28"/>
      <c r="D18" s="27" t="s">
        <v>89</v>
      </c>
      <c r="E18" s="27"/>
      <c r="F18" s="27" t="s">
        <v>417</v>
      </c>
      <c r="G18" s="28" t="s">
        <v>434</v>
      </c>
      <c r="H18" s="6">
        <v>42712</v>
      </c>
      <c r="I18" s="10"/>
      <c r="J18" s="2"/>
      <c r="K18" s="10"/>
      <c r="L18" s="28"/>
      <c r="M18" s="6"/>
      <c r="N18" s="2"/>
    </row>
    <row r="19" spans="1:14" x14ac:dyDescent="0.2">
      <c r="A19" s="45">
        <v>20000</v>
      </c>
      <c r="B19" s="27" t="s">
        <v>90</v>
      </c>
      <c r="C19" s="28"/>
      <c r="D19" s="2"/>
      <c r="E19" s="2"/>
      <c r="F19" s="27"/>
      <c r="G19" s="28"/>
      <c r="H19" s="6"/>
      <c r="I19" s="10"/>
      <c r="J19" s="2"/>
      <c r="K19" s="10"/>
      <c r="L19" s="28"/>
      <c r="M19" s="6"/>
      <c r="N19" s="2"/>
    </row>
    <row r="20" spans="1:14" x14ac:dyDescent="0.2">
      <c r="A20" s="45">
        <v>20010</v>
      </c>
      <c r="B20" s="27" t="s">
        <v>70</v>
      </c>
      <c r="C20" s="28"/>
      <c r="D20" s="27" t="s">
        <v>91</v>
      </c>
      <c r="E20" s="2"/>
      <c r="F20" s="27" t="s">
        <v>417</v>
      </c>
      <c r="G20" s="28" t="s">
        <v>434</v>
      </c>
      <c r="H20" s="6">
        <v>42712</v>
      </c>
      <c r="I20" s="10"/>
      <c r="J20" s="2"/>
      <c r="K20" s="10"/>
      <c r="L20" s="28"/>
      <c r="M20" s="6"/>
      <c r="N20" s="2"/>
    </row>
    <row r="21" spans="1:14" ht="25.5" x14ac:dyDescent="0.2">
      <c r="A21" s="45">
        <v>20020</v>
      </c>
      <c r="B21" s="27" t="s">
        <v>72</v>
      </c>
      <c r="C21" s="28"/>
      <c r="D21" s="27" t="s">
        <v>73</v>
      </c>
      <c r="E21" s="2"/>
      <c r="F21" s="27" t="s">
        <v>417</v>
      </c>
      <c r="G21" s="28" t="s">
        <v>434</v>
      </c>
      <c r="H21" s="6">
        <v>42712</v>
      </c>
      <c r="I21" s="10"/>
      <c r="J21" s="2"/>
      <c r="K21" s="10"/>
      <c r="L21" s="28"/>
      <c r="M21" s="6"/>
      <c r="N21" s="2"/>
    </row>
    <row r="22" spans="1:14" ht="38.25" x14ac:dyDescent="0.2">
      <c r="A22" s="45">
        <v>20030</v>
      </c>
      <c r="B22" s="27" t="s">
        <v>74</v>
      </c>
      <c r="C22" s="28"/>
      <c r="D22" s="27" t="s">
        <v>75</v>
      </c>
      <c r="E22" s="2"/>
      <c r="F22" s="27" t="s">
        <v>417</v>
      </c>
      <c r="G22" s="28" t="s">
        <v>434</v>
      </c>
      <c r="H22" s="6">
        <v>42712</v>
      </c>
      <c r="I22" s="10"/>
      <c r="J22" s="2"/>
      <c r="K22" s="10"/>
      <c r="L22" s="28"/>
      <c r="M22" s="6"/>
      <c r="N22" s="2"/>
    </row>
    <row r="23" spans="1:14" x14ac:dyDescent="0.2">
      <c r="A23" s="45">
        <v>20040</v>
      </c>
      <c r="B23" s="27" t="s">
        <v>92</v>
      </c>
      <c r="C23" s="10"/>
      <c r="D23" s="27" t="s">
        <v>93</v>
      </c>
      <c r="E23" s="2"/>
      <c r="F23" s="27" t="s">
        <v>417</v>
      </c>
      <c r="G23" s="28" t="s">
        <v>434</v>
      </c>
      <c r="H23" s="6">
        <v>42712</v>
      </c>
      <c r="I23" s="10"/>
      <c r="J23" s="2"/>
      <c r="K23" s="10"/>
      <c r="L23" s="28"/>
      <c r="M23" s="6"/>
      <c r="N23" s="2"/>
    </row>
    <row r="24" spans="1:14" ht="25.5" x14ac:dyDescent="0.2">
      <c r="A24" s="45">
        <v>20050</v>
      </c>
      <c r="B24" s="27" t="s">
        <v>94</v>
      </c>
      <c r="C24" s="10"/>
      <c r="D24" s="27" t="s">
        <v>95</v>
      </c>
      <c r="E24" s="2"/>
      <c r="F24" s="27" t="s">
        <v>417</v>
      </c>
      <c r="G24" s="28" t="s">
        <v>434</v>
      </c>
      <c r="H24" s="6">
        <v>42712</v>
      </c>
      <c r="I24" s="10"/>
      <c r="J24" s="2"/>
      <c r="K24" s="10"/>
      <c r="L24" s="28"/>
      <c r="M24" s="6"/>
      <c r="N24" s="2"/>
    </row>
    <row r="25" spans="1:14" ht="25.5" x14ac:dyDescent="0.2">
      <c r="A25" s="45">
        <v>20060</v>
      </c>
      <c r="B25" s="27" t="s">
        <v>96</v>
      </c>
      <c r="C25" s="10"/>
      <c r="D25" s="27" t="s">
        <v>97</v>
      </c>
      <c r="E25" s="2"/>
      <c r="F25" s="27" t="s">
        <v>417</v>
      </c>
      <c r="G25" s="28" t="s">
        <v>434</v>
      </c>
      <c r="H25" s="6">
        <v>42712</v>
      </c>
      <c r="I25" s="10"/>
      <c r="J25" s="2"/>
      <c r="K25" s="10"/>
      <c r="L25" s="28"/>
      <c r="M25" s="6"/>
      <c r="N25" s="2"/>
    </row>
    <row r="26" spans="1:14" ht="38.25" x14ac:dyDescent="0.2">
      <c r="A26" s="45">
        <v>20070</v>
      </c>
      <c r="B26" s="27" t="s">
        <v>98</v>
      </c>
      <c r="C26" s="10"/>
      <c r="D26" s="27" t="s">
        <v>99</v>
      </c>
      <c r="E26" s="2"/>
      <c r="F26" s="27" t="s">
        <v>417</v>
      </c>
      <c r="G26" s="28" t="s">
        <v>434</v>
      </c>
      <c r="H26" s="6">
        <v>42712</v>
      </c>
      <c r="I26" s="10"/>
      <c r="J26" s="2"/>
      <c r="K26" s="10"/>
      <c r="L26" s="28"/>
      <c r="M26" s="6"/>
      <c r="N26" s="2"/>
    </row>
    <row r="27" spans="1:14" ht="25.5" x14ac:dyDescent="0.2">
      <c r="A27" s="45">
        <v>20080</v>
      </c>
      <c r="B27" s="27" t="s">
        <v>100</v>
      </c>
      <c r="C27" s="10"/>
      <c r="D27" s="27" t="s">
        <v>101</v>
      </c>
      <c r="E27" s="2"/>
      <c r="F27" s="27" t="s">
        <v>417</v>
      </c>
      <c r="G27" s="28" t="s">
        <v>434</v>
      </c>
      <c r="H27" s="6">
        <v>42712</v>
      </c>
      <c r="I27" s="10"/>
      <c r="J27" s="2"/>
      <c r="K27" s="10"/>
      <c r="L27" s="28"/>
      <c r="M27" s="6"/>
      <c r="N27" s="2"/>
    </row>
    <row r="28" spans="1:14" ht="38.25" x14ac:dyDescent="0.2">
      <c r="A28" s="45">
        <v>20090</v>
      </c>
      <c r="B28" s="27" t="s">
        <v>102</v>
      </c>
      <c r="C28" s="10"/>
      <c r="D28" s="27" t="s">
        <v>103</v>
      </c>
      <c r="E28" s="2"/>
      <c r="F28" s="27" t="s">
        <v>417</v>
      </c>
      <c r="G28" s="28" t="s">
        <v>434</v>
      </c>
      <c r="H28" s="6">
        <v>42712</v>
      </c>
      <c r="I28" s="10"/>
      <c r="J28" s="2"/>
      <c r="K28" s="10"/>
      <c r="L28" s="28"/>
      <c r="M28" s="6"/>
      <c r="N28" s="2"/>
    </row>
    <row r="29" spans="1:14" ht="25.5" x14ac:dyDescent="0.2">
      <c r="A29" s="45">
        <v>20100</v>
      </c>
      <c r="B29" s="27" t="s">
        <v>104</v>
      </c>
      <c r="C29" s="10"/>
      <c r="D29" s="27" t="s">
        <v>105</v>
      </c>
      <c r="E29" s="2"/>
      <c r="F29" s="27" t="s">
        <v>417</v>
      </c>
      <c r="G29" s="28" t="s">
        <v>434</v>
      </c>
      <c r="H29" s="6">
        <v>42712</v>
      </c>
      <c r="I29" s="10"/>
      <c r="J29" s="2"/>
      <c r="K29" s="10"/>
      <c r="L29" s="28"/>
      <c r="M29" s="6"/>
      <c r="N29" s="2"/>
    </row>
    <row r="30" spans="1:14" ht="38.25" x14ac:dyDescent="0.2">
      <c r="A30" s="45">
        <v>20110</v>
      </c>
      <c r="B30" s="27" t="s">
        <v>106</v>
      </c>
      <c r="C30" s="10"/>
      <c r="D30" s="27" t="s">
        <v>107</v>
      </c>
      <c r="E30" s="2"/>
      <c r="F30" s="27" t="s">
        <v>417</v>
      </c>
      <c r="G30" s="28" t="s">
        <v>434</v>
      </c>
      <c r="H30" s="6">
        <v>42712</v>
      </c>
      <c r="I30" s="10"/>
      <c r="J30" s="2"/>
      <c r="K30" s="10"/>
      <c r="L30" s="28"/>
      <c r="M30" s="6"/>
      <c r="N30" s="2"/>
    </row>
    <row r="31" spans="1:14" ht="25.5" x14ac:dyDescent="0.2">
      <c r="A31" s="45">
        <v>20120</v>
      </c>
      <c r="B31" s="27" t="s">
        <v>108</v>
      </c>
      <c r="C31" s="10"/>
      <c r="D31" s="27" t="s">
        <v>109</v>
      </c>
      <c r="E31" s="2"/>
      <c r="F31" s="27" t="s">
        <v>417</v>
      </c>
      <c r="G31" s="28" t="s">
        <v>434</v>
      </c>
      <c r="H31" s="6">
        <v>42712</v>
      </c>
      <c r="I31" s="10"/>
      <c r="J31" s="2"/>
      <c r="K31" s="10"/>
      <c r="L31" s="28"/>
      <c r="M31" s="6"/>
      <c r="N31" s="2"/>
    </row>
    <row r="32" spans="1:14" ht="25.5" x14ac:dyDescent="0.2">
      <c r="A32" s="45">
        <v>20130</v>
      </c>
      <c r="B32" s="27" t="s">
        <v>110</v>
      </c>
      <c r="C32" s="10"/>
      <c r="D32" s="2" t="s">
        <v>109</v>
      </c>
      <c r="E32" s="2"/>
      <c r="F32" s="27" t="s">
        <v>417</v>
      </c>
      <c r="G32" s="28" t="s">
        <v>434</v>
      </c>
      <c r="H32" s="6">
        <v>42712</v>
      </c>
      <c r="I32" s="10"/>
      <c r="J32" s="2"/>
      <c r="K32" s="10"/>
      <c r="L32" s="28"/>
      <c r="M32" s="6"/>
      <c r="N32" s="2"/>
    </row>
    <row r="33" spans="1:14" ht="25.5" x14ac:dyDescent="0.2">
      <c r="A33" s="45">
        <v>20140</v>
      </c>
      <c r="B33" s="27" t="s">
        <v>111</v>
      </c>
      <c r="C33" s="10"/>
      <c r="D33" s="2" t="s">
        <v>109</v>
      </c>
      <c r="E33" s="2"/>
      <c r="F33" s="27" t="s">
        <v>417</v>
      </c>
      <c r="G33" s="28" t="s">
        <v>434</v>
      </c>
      <c r="H33" s="6">
        <v>42712</v>
      </c>
      <c r="I33" s="10"/>
      <c r="J33" s="2"/>
      <c r="K33" s="10"/>
      <c r="L33" s="28"/>
      <c r="M33" s="6"/>
      <c r="N33" s="2"/>
    </row>
    <row r="34" spans="1:14" ht="25.5" x14ac:dyDescent="0.2">
      <c r="A34" s="45">
        <v>20150</v>
      </c>
      <c r="B34" s="27" t="s">
        <v>112</v>
      </c>
      <c r="C34" s="10"/>
      <c r="D34" s="2" t="s">
        <v>109</v>
      </c>
      <c r="E34" s="2"/>
      <c r="F34" s="27" t="s">
        <v>417</v>
      </c>
      <c r="G34" s="28" t="s">
        <v>434</v>
      </c>
      <c r="H34" s="6">
        <v>42712</v>
      </c>
      <c r="I34" s="10"/>
      <c r="J34" s="2"/>
      <c r="K34" s="10"/>
      <c r="L34" s="28"/>
      <c r="M34" s="6"/>
      <c r="N34" s="2"/>
    </row>
    <row r="35" spans="1:14" ht="25.5" x14ac:dyDescent="0.2">
      <c r="A35" s="45">
        <v>20160</v>
      </c>
      <c r="B35" s="27" t="s">
        <v>113</v>
      </c>
      <c r="C35" s="10"/>
      <c r="D35" s="2" t="s">
        <v>109</v>
      </c>
      <c r="E35" s="2"/>
      <c r="F35" s="27" t="s">
        <v>417</v>
      </c>
      <c r="G35" s="28" t="s">
        <v>434</v>
      </c>
      <c r="H35" s="6">
        <v>42712</v>
      </c>
      <c r="I35" s="10"/>
      <c r="J35" s="2"/>
      <c r="K35" s="10"/>
      <c r="L35" s="28"/>
      <c r="M35" s="6"/>
      <c r="N35" s="2"/>
    </row>
    <row r="36" spans="1:14" ht="25.5" x14ac:dyDescent="0.2">
      <c r="A36" s="45">
        <v>20170</v>
      </c>
      <c r="B36" s="27" t="s">
        <v>114</v>
      </c>
      <c r="C36" s="28"/>
      <c r="D36" s="2" t="s">
        <v>109</v>
      </c>
      <c r="E36" s="2"/>
      <c r="F36" s="27" t="s">
        <v>417</v>
      </c>
      <c r="G36" s="28" t="s">
        <v>434</v>
      </c>
      <c r="H36" s="6">
        <v>42712</v>
      </c>
      <c r="I36" s="10"/>
      <c r="J36" s="2"/>
      <c r="K36" s="10"/>
      <c r="L36" s="28"/>
      <c r="M36" s="6"/>
      <c r="N36" s="2"/>
    </row>
    <row r="37" spans="1:14" ht="25.5" x14ac:dyDescent="0.2">
      <c r="A37" s="45">
        <v>20180</v>
      </c>
      <c r="B37" s="27" t="s">
        <v>115</v>
      </c>
      <c r="C37" s="10"/>
      <c r="D37" s="2" t="s">
        <v>109</v>
      </c>
      <c r="E37" s="2"/>
      <c r="F37" s="27" t="s">
        <v>417</v>
      </c>
      <c r="G37" s="28" t="s">
        <v>434</v>
      </c>
      <c r="H37" s="6">
        <v>42712</v>
      </c>
      <c r="I37" s="10"/>
      <c r="J37" s="2"/>
      <c r="K37" s="10"/>
      <c r="L37" s="28"/>
      <c r="M37" s="6"/>
      <c r="N37" s="2"/>
    </row>
    <row r="38" spans="1:14" ht="25.5" x14ac:dyDescent="0.2">
      <c r="A38" s="45">
        <v>20190</v>
      </c>
      <c r="B38" s="27" t="s">
        <v>116</v>
      </c>
      <c r="C38" s="10"/>
      <c r="D38" s="2" t="s">
        <v>109</v>
      </c>
      <c r="E38" s="2"/>
      <c r="F38" s="27" t="s">
        <v>417</v>
      </c>
      <c r="G38" s="28" t="s">
        <v>434</v>
      </c>
      <c r="H38" s="6">
        <v>42712</v>
      </c>
      <c r="I38" s="10"/>
      <c r="J38" s="2"/>
      <c r="K38" s="10"/>
      <c r="L38" s="28"/>
      <c r="M38" s="6"/>
      <c r="N38" s="2"/>
    </row>
    <row r="39" spans="1:14" ht="25.5" x14ac:dyDescent="0.2">
      <c r="A39" s="45">
        <v>20200</v>
      </c>
      <c r="B39" s="27" t="s">
        <v>117</v>
      </c>
      <c r="C39" s="10"/>
      <c r="D39" s="2" t="s">
        <v>109</v>
      </c>
      <c r="E39" s="2"/>
      <c r="F39" s="27" t="s">
        <v>417</v>
      </c>
      <c r="G39" s="28" t="s">
        <v>434</v>
      </c>
      <c r="H39" s="6">
        <v>42712</v>
      </c>
      <c r="I39" s="10"/>
      <c r="J39" s="2"/>
      <c r="K39" s="10"/>
      <c r="L39" s="28"/>
      <c r="M39" s="6"/>
      <c r="N39" s="2"/>
    </row>
    <row r="40" spans="1:14" ht="25.5" x14ac:dyDescent="0.2">
      <c r="A40" s="45">
        <v>20210</v>
      </c>
      <c r="B40" s="27" t="s">
        <v>118</v>
      </c>
      <c r="C40" s="10"/>
      <c r="D40" s="2" t="s">
        <v>109</v>
      </c>
      <c r="E40" s="2"/>
      <c r="F40" s="27" t="s">
        <v>417</v>
      </c>
      <c r="G40" s="28" t="s">
        <v>434</v>
      </c>
      <c r="H40" s="6">
        <v>42712</v>
      </c>
      <c r="I40" s="10"/>
      <c r="J40" s="2"/>
      <c r="K40" s="10"/>
      <c r="L40" s="28"/>
      <c r="M40" s="6"/>
      <c r="N40" s="2"/>
    </row>
    <row r="41" spans="1:14" ht="25.5" x14ac:dyDescent="0.2">
      <c r="A41" s="45">
        <v>20220</v>
      </c>
      <c r="B41" s="27" t="s">
        <v>119</v>
      </c>
      <c r="C41" s="10"/>
      <c r="D41" s="2" t="s">
        <v>109</v>
      </c>
      <c r="E41" s="2"/>
      <c r="F41" s="27" t="s">
        <v>417</v>
      </c>
      <c r="G41" s="28" t="s">
        <v>434</v>
      </c>
      <c r="H41" s="6">
        <v>42712</v>
      </c>
      <c r="I41" s="10"/>
      <c r="J41" s="2"/>
      <c r="K41" s="10"/>
      <c r="L41" s="28"/>
      <c r="M41" s="6"/>
      <c r="N41" s="2"/>
    </row>
    <row r="42" spans="1:14" ht="25.5" x14ac:dyDescent="0.2">
      <c r="A42" s="45">
        <v>20230</v>
      </c>
      <c r="B42" s="27" t="s">
        <v>120</v>
      </c>
      <c r="C42" s="10"/>
      <c r="D42" s="2" t="s">
        <v>109</v>
      </c>
      <c r="E42" s="2"/>
      <c r="F42" s="27" t="s">
        <v>417</v>
      </c>
      <c r="G42" s="28" t="s">
        <v>434</v>
      </c>
      <c r="H42" s="6">
        <v>42712</v>
      </c>
      <c r="I42" s="10"/>
      <c r="J42" s="2"/>
      <c r="K42" s="10"/>
      <c r="L42" s="28"/>
      <c r="M42" s="6"/>
      <c r="N42" s="2"/>
    </row>
    <row r="43" spans="1:14" ht="25.5" x14ac:dyDescent="0.2">
      <c r="A43" s="45">
        <v>20240</v>
      </c>
      <c r="B43" s="27" t="s">
        <v>121</v>
      </c>
      <c r="C43" s="10"/>
      <c r="D43" s="27" t="s">
        <v>122</v>
      </c>
      <c r="E43" s="2"/>
      <c r="F43" s="27" t="s">
        <v>443</v>
      </c>
      <c r="G43" s="28" t="s">
        <v>434</v>
      </c>
      <c r="H43" s="6">
        <v>42712</v>
      </c>
      <c r="I43" s="10"/>
      <c r="J43" s="2"/>
      <c r="K43" s="10"/>
      <c r="L43" s="28" t="s">
        <v>464</v>
      </c>
      <c r="M43" s="6">
        <v>42713</v>
      </c>
      <c r="N43" s="2"/>
    </row>
    <row r="44" spans="1:14" ht="25.5" x14ac:dyDescent="0.2">
      <c r="A44" s="45">
        <v>20260</v>
      </c>
      <c r="B44" s="27" t="s">
        <v>88</v>
      </c>
      <c r="C44" s="10"/>
      <c r="D44" s="27" t="s">
        <v>89</v>
      </c>
      <c r="E44" s="2"/>
      <c r="F44" s="27" t="s">
        <v>417</v>
      </c>
      <c r="G44" s="28" t="s">
        <v>434</v>
      </c>
      <c r="H44" s="6">
        <v>42712</v>
      </c>
      <c r="I44" s="10"/>
      <c r="J44" s="2"/>
      <c r="K44" s="10"/>
      <c r="L44" s="28"/>
      <c r="M44" s="6"/>
      <c r="N44" s="2"/>
    </row>
    <row r="45" spans="1:14" x14ac:dyDescent="0.2">
      <c r="A45" s="45">
        <v>30000</v>
      </c>
      <c r="B45" s="27" t="s">
        <v>123</v>
      </c>
      <c r="C45" s="28"/>
      <c r="D45" s="2"/>
      <c r="E45" s="2"/>
      <c r="F45" s="27"/>
      <c r="G45" s="28"/>
      <c r="H45" s="6"/>
      <c r="I45" s="10"/>
      <c r="J45" s="2"/>
      <c r="K45" s="10"/>
      <c r="L45" s="28"/>
      <c r="M45" s="6"/>
      <c r="N45" s="2"/>
    </row>
    <row r="46" spans="1:14" ht="25.5" x14ac:dyDescent="0.2">
      <c r="A46" s="45">
        <v>30010</v>
      </c>
      <c r="B46" s="27" t="s">
        <v>124</v>
      </c>
      <c r="C46" s="28"/>
      <c r="D46" s="27" t="s">
        <v>125</v>
      </c>
      <c r="E46" s="2"/>
      <c r="F46" s="27" t="s">
        <v>417</v>
      </c>
      <c r="G46" s="28" t="s">
        <v>434</v>
      </c>
      <c r="H46" s="6">
        <v>42712</v>
      </c>
      <c r="I46" s="10"/>
      <c r="J46" s="2"/>
      <c r="K46" s="10"/>
      <c r="L46" s="28"/>
      <c r="M46" s="6"/>
      <c r="N46" s="2"/>
    </row>
    <row r="47" spans="1:14" ht="25.5" x14ac:dyDescent="0.2">
      <c r="A47" s="45">
        <v>30020</v>
      </c>
      <c r="B47" s="27" t="s">
        <v>126</v>
      </c>
      <c r="C47" s="28"/>
      <c r="D47" s="27" t="s">
        <v>127</v>
      </c>
      <c r="E47" s="2"/>
      <c r="F47" s="27" t="s">
        <v>417</v>
      </c>
      <c r="G47" s="28" t="s">
        <v>434</v>
      </c>
      <c r="H47" s="6">
        <v>42712</v>
      </c>
      <c r="I47" s="10"/>
      <c r="J47" s="2"/>
      <c r="K47" s="10"/>
      <c r="L47" s="28"/>
      <c r="M47" s="6"/>
      <c r="N47" s="2"/>
    </row>
    <row r="48" spans="1:14" ht="25.5" x14ac:dyDescent="0.2">
      <c r="A48" s="45">
        <v>30030</v>
      </c>
      <c r="B48" s="27" t="s">
        <v>128</v>
      </c>
      <c r="C48" s="10"/>
      <c r="D48" s="27" t="s">
        <v>129</v>
      </c>
      <c r="E48" s="2"/>
      <c r="F48" s="27" t="s">
        <v>417</v>
      </c>
      <c r="G48" s="28" t="s">
        <v>434</v>
      </c>
      <c r="H48" s="6">
        <v>42712</v>
      </c>
      <c r="I48" s="10"/>
      <c r="J48" s="2"/>
      <c r="K48" s="10"/>
      <c r="L48" s="28"/>
      <c r="M48" s="6"/>
      <c r="N48" s="2"/>
    </row>
    <row r="49" spans="1:14" ht="25.5" x14ac:dyDescent="0.2">
      <c r="A49" s="45">
        <v>30040</v>
      </c>
      <c r="B49" s="27" t="s">
        <v>88</v>
      </c>
      <c r="C49" s="10"/>
      <c r="D49" s="27" t="s">
        <v>130</v>
      </c>
      <c r="E49" s="2"/>
      <c r="F49" s="27" t="s">
        <v>417</v>
      </c>
      <c r="G49" s="28" t="s">
        <v>434</v>
      </c>
      <c r="H49" s="6">
        <v>42712</v>
      </c>
      <c r="I49" s="10"/>
      <c r="J49" s="2"/>
      <c r="K49" s="10"/>
      <c r="L49" s="28"/>
      <c r="M49" s="6"/>
      <c r="N49" s="2"/>
    </row>
    <row r="50" spans="1:14" x14ac:dyDescent="0.2">
      <c r="A50" s="45">
        <v>40000</v>
      </c>
      <c r="B50" s="27" t="s">
        <v>131</v>
      </c>
      <c r="C50" s="28"/>
      <c r="D50" s="2"/>
      <c r="E50" s="2"/>
      <c r="F50" s="27"/>
      <c r="G50" s="28"/>
      <c r="H50" s="6"/>
      <c r="I50" s="10"/>
      <c r="J50" s="2"/>
      <c r="K50" s="10"/>
      <c r="L50" s="28"/>
      <c r="M50" s="6"/>
      <c r="N50" s="2"/>
    </row>
    <row r="51" spans="1:14" ht="38.25" x14ac:dyDescent="0.2">
      <c r="A51" s="45">
        <v>40010</v>
      </c>
      <c r="B51" s="27" t="s">
        <v>132</v>
      </c>
      <c r="C51" s="28"/>
      <c r="D51" s="31" t="s">
        <v>133</v>
      </c>
      <c r="E51" s="2"/>
      <c r="F51" s="27" t="s">
        <v>417</v>
      </c>
      <c r="G51" s="28" t="s">
        <v>434</v>
      </c>
      <c r="H51" s="6">
        <v>42712</v>
      </c>
      <c r="I51" s="10"/>
      <c r="J51" s="2"/>
      <c r="K51" s="10"/>
      <c r="L51" s="28"/>
      <c r="M51" s="6"/>
      <c r="N51" s="2"/>
    </row>
    <row r="52" spans="1:14" ht="38.25" x14ac:dyDescent="0.2">
      <c r="A52" s="45">
        <v>40020</v>
      </c>
      <c r="B52" s="27" t="s">
        <v>134</v>
      </c>
      <c r="C52" s="28"/>
      <c r="D52" s="27" t="s">
        <v>135</v>
      </c>
      <c r="E52" s="2"/>
      <c r="F52" s="27" t="s">
        <v>417</v>
      </c>
      <c r="G52" s="28" t="s">
        <v>434</v>
      </c>
      <c r="H52" s="6">
        <v>42712</v>
      </c>
      <c r="I52" s="10"/>
      <c r="J52" s="2"/>
      <c r="K52" s="10"/>
      <c r="L52" s="28"/>
      <c r="M52" s="6"/>
      <c r="N52" s="2"/>
    </row>
    <row r="53" spans="1:14" ht="51" x14ac:dyDescent="0.2">
      <c r="A53" s="45">
        <v>40030</v>
      </c>
      <c r="B53" s="27" t="s">
        <v>136</v>
      </c>
      <c r="C53" s="28"/>
      <c r="D53" s="27" t="s">
        <v>137</v>
      </c>
      <c r="E53" s="2"/>
      <c r="F53" s="27" t="s">
        <v>417</v>
      </c>
      <c r="G53" s="28" t="s">
        <v>434</v>
      </c>
      <c r="H53" s="6">
        <v>42712</v>
      </c>
      <c r="I53" s="10"/>
      <c r="J53" s="2"/>
      <c r="K53" s="10"/>
      <c r="L53" s="28"/>
      <c r="M53" s="6"/>
      <c r="N53" s="2"/>
    </row>
    <row r="54" spans="1:14" ht="38.25" x14ac:dyDescent="0.2">
      <c r="A54" s="45">
        <v>40040</v>
      </c>
      <c r="B54" s="27" t="s">
        <v>138</v>
      </c>
      <c r="C54" s="28"/>
      <c r="D54" s="27" t="s">
        <v>139</v>
      </c>
      <c r="E54" s="2"/>
      <c r="F54" s="27" t="s">
        <v>417</v>
      </c>
      <c r="G54" s="28" t="s">
        <v>434</v>
      </c>
      <c r="H54" s="6">
        <v>42712</v>
      </c>
      <c r="I54" s="10"/>
      <c r="J54" s="2"/>
      <c r="K54" s="10"/>
      <c r="L54" s="28"/>
      <c r="M54" s="6"/>
      <c r="N54" s="2"/>
    </row>
    <row r="55" spans="1:14" ht="25.5" x14ac:dyDescent="0.2">
      <c r="A55" s="45">
        <v>40050</v>
      </c>
      <c r="B55" s="27" t="s">
        <v>140</v>
      </c>
      <c r="C55" s="28"/>
      <c r="D55" s="27" t="s">
        <v>141</v>
      </c>
      <c r="E55" s="2"/>
      <c r="F55" s="27" t="s">
        <v>66</v>
      </c>
      <c r="G55" s="28" t="s">
        <v>434</v>
      </c>
      <c r="H55" s="6">
        <v>42712</v>
      </c>
      <c r="I55" s="10"/>
      <c r="J55" s="2"/>
      <c r="K55" s="10"/>
      <c r="L55" s="28"/>
      <c r="M55" s="6"/>
      <c r="N55" s="2"/>
    </row>
    <row r="56" spans="1:14" ht="25.5" x14ac:dyDescent="0.2">
      <c r="A56" s="45">
        <v>40060</v>
      </c>
      <c r="B56" s="27" t="s">
        <v>142</v>
      </c>
      <c r="C56" s="28"/>
      <c r="D56" s="27" t="s">
        <v>141</v>
      </c>
      <c r="E56" s="2"/>
      <c r="F56" s="27" t="s">
        <v>417</v>
      </c>
      <c r="G56" s="28" t="s">
        <v>434</v>
      </c>
      <c r="H56" s="6">
        <v>42712</v>
      </c>
      <c r="I56" s="10"/>
      <c r="J56" s="2"/>
      <c r="K56" s="10"/>
      <c r="L56" s="28"/>
      <c r="M56" s="6"/>
      <c r="N56" s="2"/>
    </row>
    <row r="57" spans="1:14" ht="25.5" x14ac:dyDescent="0.2">
      <c r="A57" s="45">
        <v>40070</v>
      </c>
      <c r="B57" s="27" t="s">
        <v>143</v>
      </c>
      <c r="C57" s="28"/>
      <c r="D57" s="27" t="s">
        <v>141</v>
      </c>
      <c r="E57" s="2"/>
      <c r="F57" s="27" t="s">
        <v>417</v>
      </c>
      <c r="G57" s="28" t="s">
        <v>434</v>
      </c>
      <c r="H57" s="6">
        <v>42712</v>
      </c>
      <c r="I57" s="10"/>
      <c r="J57" s="2"/>
      <c r="K57" s="10"/>
      <c r="L57" s="28"/>
      <c r="M57" s="6"/>
      <c r="N57" s="2"/>
    </row>
    <row r="58" spans="1:14" ht="25.5" x14ac:dyDescent="0.2">
      <c r="A58" s="45">
        <v>40080</v>
      </c>
      <c r="B58" s="27" t="s">
        <v>144</v>
      </c>
      <c r="C58" s="28"/>
      <c r="D58" s="27" t="s">
        <v>145</v>
      </c>
      <c r="E58" s="2"/>
      <c r="F58" s="27" t="s">
        <v>417</v>
      </c>
      <c r="G58" s="28" t="s">
        <v>434</v>
      </c>
      <c r="H58" s="6">
        <v>42712</v>
      </c>
      <c r="I58" s="10"/>
      <c r="J58" s="2"/>
      <c r="K58" s="10"/>
      <c r="L58" s="28"/>
      <c r="M58" s="6"/>
      <c r="N58" s="2"/>
    </row>
    <row r="59" spans="1:14" x14ac:dyDescent="0.2">
      <c r="A59" s="45"/>
      <c r="B59" s="27"/>
      <c r="C59" s="28"/>
      <c r="D59" s="27"/>
      <c r="E59" s="2"/>
      <c r="F59" s="27"/>
      <c r="G59" s="28"/>
      <c r="H59" s="6"/>
      <c r="I59" s="10"/>
      <c r="J59" s="2"/>
      <c r="K59" s="10"/>
      <c r="L59" s="28"/>
      <c r="M59" s="6"/>
      <c r="N59" s="2"/>
    </row>
    <row r="60" spans="1:14" x14ac:dyDescent="0.2">
      <c r="A60" s="45"/>
      <c r="B60" s="27"/>
      <c r="C60" s="28"/>
      <c r="D60" s="27"/>
      <c r="E60" s="2"/>
      <c r="F60" s="27"/>
      <c r="G60" s="28"/>
      <c r="H60" s="6"/>
      <c r="I60" s="10"/>
      <c r="J60" s="2"/>
      <c r="K60" s="10"/>
      <c r="L60" s="28"/>
      <c r="M60" s="6"/>
      <c r="N60" s="2"/>
    </row>
    <row r="61" spans="1:14" x14ac:dyDescent="0.2">
      <c r="A61" s="45">
        <v>50000</v>
      </c>
      <c r="B61" s="27" t="s">
        <v>146</v>
      </c>
      <c r="C61" s="28"/>
      <c r="D61" s="2"/>
      <c r="E61" s="2"/>
      <c r="F61" s="27"/>
      <c r="G61" s="28"/>
      <c r="H61" s="6"/>
      <c r="I61" s="10"/>
      <c r="J61" s="2"/>
      <c r="K61" s="10"/>
      <c r="L61" s="28"/>
      <c r="M61" s="6"/>
      <c r="N61" s="2"/>
    </row>
    <row r="62" spans="1:14" ht="25.5" x14ac:dyDescent="0.2">
      <c r="A62" s="45">
        <v>50010</v>
      </c>
      <c r="B62" s="27" t="s">
        <v>70</v>
      </c>
      <c r="C62" s="28"/>
      <c r="D62" s="27" t="s">
        <v>147</v>
      </c>
      <c r="E62" s="2"/>
      <c r="F62" s="27" t="s">
        <v>417</v>
      </c>
      <c r="G62" s="28" t="s">
        <v>434</v>
      </c>
      <c r="H62" s="6">
        <v>42712</v>
      </c>
      <c r="I62" s="10"/>
      <c r="J62" s="2"/>
      <c r="K62" s="10"/>
      <c r="L62" s="28"/>
      <c r="M62" s="6"/>
      <c r="N62" s="2"/>
    </row>
    <row r="63" spans="1:14" ht="38.25" x14ac:dyDescent="0.2">
      <c r="A63" s="45">
        <v>50020</v>
      </c>
      <c r="B63" s="27" t="s">
        <v>72</v>
      </c>
      <c r="C63" s="28"/>
      <c r="D63" s="27" t="s">
        <v>148</v>
      </c>
      <c r="E63" s="2"/>
      <c r="F63" s="27" t="s">
        <v>417</v>
      </c>
      <c r="G63" s="28" t="s">
        <v>434</v>
      </c>
      <c r="H63" s="6">
        <v>42712</v>
      </c>
      <c r="I63" s="10"/>
      <c r="J63" s="2"/>
      <c r="K63" s="10"/>
      <c r="L63" s="28"/>
      <c r="M63" s="6"/>
      <c r="N63" s="2"/>
    </row>
    <row r="64" spans="1:14" ht="38.25" x14ac:dyDescent="0.2">
      <c r="A64" s="45">
        <v>50030</v>
      </c>
      <c r="B64" s="27" t="s">
        <v>74</v>
      </c>
      <c r="C64" s="10"/>
      <c r="D64" s="27" t="s">
        <v>149</v>
      </c>
      <c r="E64" s="2"/>
      <c r="F64" s="27" t="s">
        <v>417</v>
      </c>
      <c r="G64" s="28" t="s">
        <v>434</v>
      </c>
      <c r="H64" s="6">
        <v>42712</v>
      </c>
      <c r="I64" s="10"/>
      <c r="J64" s="2"/>
      <c r="K64" s="10"/>
      <c r="L64" s="28"/>
      <c r="M64" s="6"/>
      <c r="N64" s="2"/>
    </row>
    <row r="65" spans="1:14" ht="38.25" x14ac:dyDescent="0.2">
      <c r="A65" s="45">
        <v>50040</v>
      </c>
      <c r="B65" s="27" t="s">
        <v>150</v>
      </c>
      <c r="C65" s="10"/>
      <c r="D65" s="27" t="s">
        <v>151</v>
      </c>
      <c r="E65" s="2"/>
      <c r="F65" s="27" t="s">
        <v>417</v>
      </c>
      <c r="G65" s="28" t="s">
        <v>434</v>
      </c>
      <c r="H65" s="6">
        <v>42712</v>
      </c>
      <c r="I65" s="10"/>
      <c r="J65" s="2"/>
      <c r="K65" s="10"/>
      <c r="L65" s="28"/>
      <c r="M65" s="6"/>
      <c r="N65" s="2"/>
    </row>
    <row r="66" spans="1:14" ht="25.5" x14ac:dyDescent="0.2">
      <c r="A66" s="45">
        <v>50050</v>
      </c>
      <c r="B66" s="27" t="s">
        <v>152</v>
      </c>
      <c r="C66" s="10"/>
      <c r="D66" s="27" t="s">
        <v>153</v>
      </c>
      <c r="E66" s="2"/>
      <c r="F66" s="27" t="s">
        <v>417</v>
      </c>
      <c r="G66" s="28" t="s">
        <v>434</v>
      </c>
      <c r="H66" s="6">
        <v>42712</v>
      </c>
      <c r="I66" s="10"/>
      <c r="J66" s="2"/>
      <c r="K66" s="10"/>
      <c r="L66" s="28"/>
      <c r="M66" s="6"/>
      <c r="N66" s="2"/>
    </row>
    <row r="67" spans="1:14" x14ac:dyDescent="0.2">
      <c r="A67" s="45">
        <v>50060</v>
      </c>
      <c r="B67" s="27" t="s">
        <v>154</v>
      </c>
      <c r="C67" s="10"/>
      <c r="D67" s="27" t="s">
        <v>155</v>
      </c>
      <c r="E67" s="2"/>
      <c r="F67" s="27" t="s">
        <v>417</v>
      </c>
      <c r="G67" s="28" t="s">
        <v>434</v>
      </c>
      <c r="H67" s="6">
        <v>42712</v>
      </c>
      <c r="I67" s="10"/>
      <c r="J67" s="2"/>
      <c r="K67" s="10"/>
      <c r="L67" s="28"/>
      <c r="M67" s="6"/>
      <c r="N67" s="2"/>
    </row>
    <row r="68" spans="1:14" ht="63.75" x14ac:dyDescent="0.2">
      <c r="A68" s="45">
        <v>50070</v>
      </c>
      <c r="B68" s="27" t="s">
        <v>156</v>
      </c>
      <c r="C68" s="10"/>
      <c r="D68" s="27" t="s">
        <v>157</v>
      </c>
      <c r="E68" s="2"/>
      <c r="F68" s="27" t="s">
        <v>444</v>
      </c>
      <c r="G68" s="28" t="s">
        <v>434</v>
      </c>
      <c r="H68" s="6">
        <v>42712</v>
      </c>
      <c r="I68" s="10"/>
      <c r="J68" s="2"/>
      <c r="K68" s="10"/>
      <c r="L68" s="28" t="s">
        <v>464</v>
      </c>
      <c r="M68" s="6">
        <v>42713</v>
      </c>
      <c r="N68" s="2"/>
    </row>
    <row r="69" spans="1:14" x14ac:dyDescent="0.2">
      <c r="A69" s="45">
        <v>60000</v>
      </c>
      <c r="B69" s="27" t="s">
        <v>158</v>
      </c>
      <c r="C69" s="28"/>
      <c r="D69" s="2"/>
      <c r="E69" s="2"/>
      <c r="F69" s="27"/>
      <c r="G69" s="28"/>
      <c r="H69" s="6"/>
      <c r="I69" s="10"/>
      <c r="J69" s="2"/>
      <c r="K69" s="10"/>
      <c r="L69" s="28"/>
      <c r="M69" s="6"/>
      <c r="N69" s="2"/>
    </row>
    <row r="70" spans="1:14" ht="38.25" x14ac:dyDescent="0.2">
      <c r="A70" s="45">
        <v>60010</v>
      </c>
      <c r="B70" s="27" t="s">
        <v>159</v>
      </c>
      <c r="C70" s="28"/>
      <c r="D70" s="27" t="s">
        <v>160</v>
      </c>
      <c r="E70" s="2"/>
      <c r="F70" s="27" t="s">
        <v>417</v>
      </c>
      <c r="G70" s="28" t="s">
        <v>434</v>
      </c>
      <c r="H70" s="6">
        <v>42712</v>
      </c>
      <c r="I70" s="10"/>
      <c r="J70" s="2"/>
      <c r="K70" s="10"/>
      <c r="L70" s="28"/>
      <c r="M70" s="6"/>
      <c r="N70" s="2"/>
    </row>
    <row r="71" spans="1:14" ht="25.5" x14ac:dyDescent="0.2">
      <c r="A71" s="45">
        <v>60020</v>
      </c>
      <c r="B71" s="27" t="s">
        <v>161</v>
      </c>
      <c r="C71" s="28"/>
      <c r="D71" s="27" t="s">
        <v>162</v>
      </c>
      <c r="E71" s="2"/>
      <c r="F71" s="27" t="s">
        <v>417</v>
      </c>
      <c r="G71" s="28" t="s">
        <v>434</v>
      </c>
      <c r="H71" s="6">
        <v>42712</v>
      </c>
      <c r="I71" s="10"/>
      <c r="J71" s="2"/>
      <c r="K71" s="10"/>
      <c r="L71" s="28"/>
      <c r="M71" s="6"/>
      <c r="N71" s="2"/>
    </row>
    <row r="72" spans="1:14" ht="25.5" x14ac:dyDescent="0.2">
      <c r="A72" s="45">
        <v>60030</v>
      </c>
      <c r="B72" s="27" t="s">
        <v>163</v>
      </c>
      <c r="C72" s="28"/>
      <c r="D72" s="27" t="s">
        <v>162</v>
      </c>
      <c r="E72" s="2"/>
      <c r="F72" s="27" t="s">
        <v>417</v>
      </c>
      <c r="G72" s="28" t="s">
        <v>434</v>
      </c>
      <c r="H72" s="6">
        <v>42712</v>
      </c>
      <c r="I72" s="10"/>
      <c r="J72" s="2"/>
      <c r="K72" s="10"/>
      <c r="L72" s="28"/>
      <c r="M72" s="6"/>
      <c r="N72" s="2"/>
    </row>
    <row r="73" spans="1:14" ht="38.25" x14ac:dyDescent="0.2">
      <c r="A73" s="45">
        <v>60040</v>
      </c>
      <c r="B73" s="27" t="s">
        <v>164</v>
      </c>
      <c r="C73" s="28"/>
      <c r="D73" s="27" t="s">
        <v>165</v>
      </c>
      <c r="E73" s="2"/>
      <c r="F73" s="27" t="s">
        <v>417</v>
      </c>
      <c r="G73" s="28" t="s">
        <v>434</v>
      </c>
      <c r="H73" s="6">
        <v>42712</v>
      </c>
      <c r="I73" s="10"/>
      <c r="J73" s="2"/>
      <c r="K73" s="10"/>
      <c r="L73" s="28"/>
      <c r="M73" s="6"/>
      <c r="N73" s="2"/>
    </row>
    <row r="74" spans="1:14" ht="25.5" x14ac:dyDescent="0.2">
      <c r="A74" s="45">
        <v>60050</v>
      </c>
      <c r="B74" s="27" t="s">
        <v>166</v>
      </c>
      <c r="C74" s="28"/>
      <c r="D74" s="27" t="s">
        <v>162</v>
      </c>
      <c r="E74" s="2"/>
      <c r="F74" s="27" t="s">
        <v>417</v>
      </c>
      <c r="G74" s="28" t="s">
        <v>434</v>
      </c>
      <c r="H74" s="6">
        <v>42712</v>
      </c>
      <c r="I74" s="10"/>
      <c r="J74" s="2"/>
      <c r="K74" s="10"/>
      <c r="L74" s="28"/>
      <c r="M74" s="6"/>
      <c r="N74" s="2"/>
    </row>
    <row r="75" spans="1:14" ht="25.5" x14ac:dyDescent="0.2">
      <c r="A75" s="45">
        <v>60060</v>
      </c>
      <c r="B75" s="27" t="s">
        <v>167</v>
      </c>
      <c r="C75" s="28"/>
      <c r="D75" s="27" t="s">
        <v>162</v>
      </c>
      <c r="E75" s="2"/>
      <c r="F75" s="27" t="s">
        <v>417</v>
      </c>
      <c r="G75" s="28" t="s">
        <v>434</v>
      </c>
      <c r="H75" s="6">
        <v>42712</v>
      </c>
      <c r="I75" s="10"/>
      <c r="J75" s="2"/>
      <c r="K75" s="10"/>
      <c r="L75" s="28"/>
      <c r="M75" s="6"/>
      <c r="N75" s="2"/>
    </row>
    <row r="76" spans="1:14" ht="38.25" x14ac:dyDescent="0.2">
      <c r="A76" s="45">
        <v>60070</v>
      </c>
      <c r="B76" s="27" t="s">
        <v>168</v>
      </c>
      <c r="C76" s="28"/>
      <c r="D76" s="27" t="s">
        <v>169</v>
      </c>
      <c r="E76" s="2"/>
      <c r="F76" s="27" t="s">
        <v>417</v>
      </c>
      <c r="G76" s="28" t="s">
        <v>434</v>
      </c>
      <c r="H76" s="6">
        <v>42712</v>
      </c>
      <c r="I76" s="10"/>
      <c r="J76" s="2"/>
      <c r="K76" s="10"/>
      <c r="L76" s="28"/>
      <c r="M76" s="6"/>
      <c r="N76" s="2"/>
    </row>
    <row r="77" spans="1:14" ht="25.5" x14ac:dyDescent="0.2">
      <c r="A77" s="45">
        <v>60080</v>
      </c>
      <c r="B77" s="27" t="s">
        <v>170</v>
      </c>
      <c r="C77" s="28"/>
      <c r="D77" s="27" t="s">
        <v>171</v>
      </c>
      <c r="E77" s="2"/>
      <c r="F77" s="27" t="s">
        <v>417</v>
      </c>
      <c r="G77" s="28" t="s">
        <v>434</v>
      </c>
      <c r="H77" s="6">
        <v>42712</v>
      </c>
      <c r="I77" s="10"/>
      <c r="J77" s="2"/>
      <c r="K77" s="10"/>
      <c r="L77" s="28"/>
      <c r="M77" s="6"/>
      <c r="N77" s="2"/>
    </row>
    <row r="78" spans="1:14" ht="38.25" x14ac:dyDescent="0.2">
      <c r="A78" s="45">
        <v>60090</v>
      </c>
      <c r="B78" s="27" t="s">
        <v>172</v>
      </c>
      <c r="C78" s="28"/>
      <c r="D78" s="27" t="s">
        <v>173</v>
      </c>
      <c r="E78" s="2"/>
      <c r="F78" s="27" t="s">
        <v>417</v>
      </c>
      <c r="G78" s="28" t="s">
        <v>434</v>
      </c>
      <c r="H78" s="6">
        <v>42712</v>
      </c>
      <c r="I78" s="10"/>
      <c r="J78" s="2"/>
      <c r="K78" s="10"/>
      <c r="L78" s="28"/>
      <c r="M78" s="6"/>
      <c r="N78" s="2"/>
    </row>
    <row r="79" spans="1:14" ht="38.25" x14ac:dyDescent="0.2">
      <c r="A79" s="45">
        <v>60100</v>
      </c>
      <c r="B79" s="27" t="s">
        <v>174</v>
      </c>
      <c r="C79" s="28"/>
      <c r="D79" s="27" t="s">
        <v>175</v>
      </c>
      <c r="E79" s="2"/>
      <c r="F79" s="27" t="s">
        <v>445</v>
      </c>
      <c r="G79" s="28" t="s">
        <v>434</v>
      </c>
      <c r="H79" s="6">
        <v>42712</v>
      </c>
      <c r="I79" s="10"/>
      <c r="J79" s="2"/>
      <c r="K79" s="10"/>
      <c r="L79" s="28" t="s">
        <v>463</v>
      </c>
      <c r="M79" s="6">
        <v>42713</v>
      </c>
      <c r="N79" s="2"/>
    </row>
    <row r="80" spans="1:14" ht="38.25" x14ac:dyDescent="0.2">
      <c r="A80" s="45">
        <v>60110</v>
      </c>
      <c r="B80" s="27" t="s">
        <v>176</v>
      </c>
      <c r="C80" s="10"/>
      <c r="D80" s="27" t="s">
        <v>177</v>
      </c>
      <c r="E80" s="2"/>
      <c r="F80" s="27" t="s">
        <v>417</v>
      </c>
      <c r="G80" s="28" t="s">
        <v>434</v>
      </c>
      <c r="H80" s="6">
        <v>42712</v>
      </c>
      <c r="I80" s="10"/>
      <c r="J80" s="2"/>
      <c r="K80" s="10"/>
      <c r="L80" s="28"/>
      <c r="M80" s="6"/>
      <c r="N80" s="2"/>
    </row>
    <row r="81" spans="1:14" ht="25.5" x14ac:dyDescent="0.2">
      <c r="A81" s="45">
        <v>60120</v>
      </c>
      <c r="B81" s="27" t="s">
        <v>178</v>
      </c>
      <c r="C81" s="10"/>
      <c r="D81" s="27" t="s">
        <v>179</v>
      </c>
      <c r="E81" s="2"/>
      <c r="F81" s="27" t="s">
        <v>417</v>
      </c>
      <c r="G81" s="28" t="s">
        <v>434</v>
      </c>
      <c r="H81" s="6">
        <v>42712</v>
      </c>
      <c r="I81" s="10"/>
      <c r="J81" s="2"/>
      <c r="K81" s="10"/>
      <c r="L81" s="28"/>
      <c r="M81" s="6"/>
      <c r="N81" s="2"/>
    </row>
    <row r="82" spans="1:14" ht="38.25" x14ac:dyDescent="0.2">
      <c r="A82" s="45">
        <v>60130</v>
      </c>
      <c r="B82" s="27" t="s">
        <v>180</v>
      </c>
      <c r="C82" s="10"/>
      <c r="D82" s="27" t="s">
        <v>181</v>
      </c>
      <c r="E82" s="2"/>
      <c r="F82" s="27" t="s">
        <v>417</v>
      </c>
      <c r="G82" s="28" t="s">
        <v>420</v>
      </c>
      <c r="H82" s="6">
        <v>42712</v>
      </c>
      <c r="I82" s="10"/>
      <c r="J82" s="2"/>
      <c r="K82" s="10"/>
      <c r="L82" s="28"/>
      <c r="M82" s="6"/>
      <c r="N82" s="2"/>
    </row>
    <row r="83" spans="1:14" x14ac:dyDescent="0.2">
      <c r="A83" s="45">
        <v>60140</v>
      </c>
      <c r="B83" s="27" t="s">
        <v>182</v>
      </c>
      <c r="C83" s="10"/>
      <c r="D83" s="27" t="s">
        <v>183</v>
      </c>
      <c r="E83" s="2"/>
      <c r="F83" s="27" t="s">
        <v>417</v>
      </c>
      <c r="G83" s="28" t="s">
        <v>434</v>
      </c>
      <c r="H83" s="6">
        <v>42712</v>
      </c>
      <c r="I83" s="10"/>
      <c r="J83" s="2"/>
      <c r="K83" s="10"/>
      <c r="L83" s="28"/>
      <c r="M83" s="6"/>
      <c r="N83" s="2"/>
    </row>
    <row r="84" spans="1:14" x14ac:dyDescent="0.2">
      <c r="A84" s="45">
        <v>60150</v>
      </c>
      <c r="B84" s="27" t="s">
        <v>184</v>
      </c>
      <c r="C84" s="10"/>
      <c r="D84" s="27" t="s">
        <v>185</v>
      </c>
      <c r="E84" s="2"/>
      <c r="F84" s="27" t="s">
        <v>417</v>
      </c>
      <c r="G84" s="28" t="s">
        <v>434</v>
      </c>
      <c r="H84" s="6">
        <v>42712</v>
      </c>
      <c r="I84" s="10"/>
      <c r="J84" s="2"/>
      <c r="K84" s="10"/>
      <c r="L84" s="28"/>
      <c r="M84" s="6"/>
      <c r="N84" s="2"/>
    </row>
    <row r="85" spans="1:14" x14ac:dyDescent="0.2">
      <c r="A85" s="45">
        <v>60160</v>
      </c>
      <c r="B85" s="27" t="s">
        <v>186</v>
      </c>
      <c r="C85" s="10"/>
      <c r="D85" s="27" t="s">
        <v>187</v>
      </c>
      <c r="E85" s="2"/>
      <c r="F85" s="27" t="s">
        <v>417</v>
      </c>
      <c r="G85" s="28" t="s">
        <v>434</v>
      </c>
      <c r="H85" s="6">
        <v>42712</v>
      </c>
      <c r="I85" s="10"/>
      <c r="J85" s="2"/>
      <c r="K85" s="10"/>
      <c r="L85" s="28"/>
      <c r="M85" s="6"/>
      <c r="N85" s="2"/>
    </row>
    <row r="86" spans="1:14" ht="25.5" x14ac:dyDescent="0.2">
      <c r="A86" s="45">
        <v>60170</v>
      </c>
      <c r="B86" s="27" t="s">
        <v>188</v>
      </c>
      <c r="C86" s="10"/>
      <c r="D86" s="27" t="s">
        <v>189</v>
      </c>
      <c r="E86" s="2"/>
      <c r="F86" s="27" t="s">
        <v>417</v>
      </c>
      <c r="G86" s="28" t="s">
        <v>434</v>
      </c>
      <c r="H86" s="6">
        <v>42712</v>
      </c>
      <c r="I86" s="10"/>
      <c r="J86" s="2"/>
      <c r="K86" s="10"/>
      <c r="L86" s="28"/>
      <c r="M86" s="6"/>
      <c r="N86" s="2"/>
    </row>
    <row r="87" spans="1:14" ht="25.5" x14ac:dyDescent="0.2">
      <c r="A87" s="45">
        <v>60180</v>
      </c>
      <c r="B87" s="27" t="s">
        <v>190</v>
      </c>
      <c r="C87" s="10"/>
      <c r="D87" s="27" t="s">
        <v>191</v>
      </c>
      <c r="E87" s="2"/>
      <c r="F87" s="27" t="s">
        <v>417</v>
      </c>
      <c r="G87" s="28" t="s">
        <v>434</v>
      </c>
      <c r="H87" s="6">
        <v>42712</v>
      </c>
      <c r="I87" s="10"/>
      <c r="J87" s="2"/>
      <c r="K87" s="10"/>
      <c r="L87" s="28"/>
      <c r="M87" s="6"/>
      <c r="N87" s="2"/>
    </row>
    <row r="88" spans="1:14" x14ac:dyDescent="0.2">
      <c r="A88" s="45">
        <v>70000</v>
      </c>
      <c r="B88" s="27" t="s">
        <v>192</v>
      </c>
      <c r="C88" s="28"/>
      <c r="D88" s="2"/>
      <c r="E88" s="2"/>
      <c r="F88" s="27"/>
      <c r="G88" s="28"/>
      <c r="H88" s="6"/>
      <c r="I88" s="10"/>
      <c r="J88" s="2"/>
      <c r="K88" s="10"/>
      <c r="L88" s="28"/>
      <c r="M88" s="6"/>
      <c r="N88" s="2"/>
    </row>
    <row r="89" spans="1:14" ht="51" x14ac:dyDescent="0.2">
      <c r="A89" s="45">
        <v>70010</v>
      </c>
      <c r="B89" s="27" t="s">
        <v>193</v>
      </c>
      <c r="C89" s="28"/>
      <c r="D89" s="27" t="s">
        <v>194</v>
      </c>
      <c r="E89" s="2"/>
      <c r="F89" s="27" t="s">
        <v>446</v>
      </c>
      <c r="G89" s="28" t="s">
        <v>420</v>
      </c>
      <c r="H89" s="6">
        <v>42712</v>
      </c>
      <c r="I89" s="10"/>
      <c r="J89" s="2"/>
      <c r="K89" s="10"/>
      <c r="L89" s="28" t="s">
        <v>463</v>
      </c>
      <c r="M89" s="6">
        <v>42713</v>
      </c>
      <c r="N89" s="2"/>
    </row>
    <row r="90" spans="1:14" ht="51" x14ac:dyDescent="0.2">
      <c r="A90" s="45">
        <v>70020</v>
      </c>
      <c r="B90" s="27" t="s">
        <v>195</v>
      </c>
      <c r="C90" s="28"/>
      <c r="D90" s="27" t="s">
        <v>196</v>
      </c>
      <c r="E90" s="2"/>
      <c r="F90" s="27" t="s">
        <v>417</v>
      </c>
      <c r="G90" s="28" t="s">
        <v>434</v>
      </c>
      <c r="H90" s="6">
        <v>42712</v>
      </c>
      <c r="I90" s="10"/>
      <c r="J90" s="2"/>
      <c r="K90" s="10"/>
      <c r="L90" s="28"/>
      <c r="M90" s="6"/>
      <c r="N90" s="2"/>
    </row>
    <row r="91" spans="1:14" ht="38.25" x14ac:dyDescent="0.2">
      <c r="A91" s="45">
        <v>70030</v>
      </c>
      <c r="B91" s="27" t="s">
        <v>197</v>
      </c>
      <c r="C91" s="28"/>
      <c r="D91" s="27" t="s">
        <v>198</v>
      </c>
      <c r="E91" s="2"/>
      <c r="F91" s="27" t="s">
        <v>417</v>
      </c>
      <c r="G91" s="28" t="s">
        <v>434</v>
      </c>
      <c r="H91" s="6">
        <v>42712</v>
      </c>
      <c r="I91" s="10"/>
      <c r="J91" s="2"/>
      <c r="K91" s="10"/>
      <c r="L91" s="28"/>
      <c r="M91" s="6"/>
      <c r="N91" s="2"/>
    </row>
    <row r="92" spans="1:14" x14ac:dyDescent="0.2">
      <c r="A92" s="45">
        <v>80000</v>
      </c>
      <c r="B92" s="27" t="s">
        <v>199</v>
      </c>
      <c r="C92" s="28"/>
      <c r="D92" s="2"/>
      <c r="E92" s="2"/>
      <c r="F92" s="27"/>
      <c r="G92" s="28"/>
      <c r="H92" s="6"/>
      <c r="I92" s="10"/>
      <c r="J92" s="2"/>
      <c r="K92" s="10"/>
      <c r="L92" s="28"/>
      <c r="M92" s="6"/>
      <c r="N92" s="2"/>
    </row>
    <row r="93" spans="1:14" ht="38.25" x14ac:dyDescent="0.2">
      <c r="A93" s="45">
        <v>80010</v>
      </c>
      <c r="B93" s="27" t="s">
        <v>200</v>
      </c>
      <c r="C93" s="28"/>
      <c r="D93" s="27" t="s">
        <v>201</v>
      </c>
      <c r="E93" s="2"/>
      <c r="F93" s="27" t="s">
        <v>417</v>
      </c>
      <c r="G93" s="28" t="s">
        <v>420</v>
      </c>
      <c r="H93" s="6">
        <v>42712</v>
      </c>
      <c r="I93" s="10"/>
      <c r="J93" s="2"/>
      <c r="K93" s="10"/>
      <c r="L93" s="28"/>
      <c r="M93" s="6"/>
      <c r="N93" s="2"/>
    </row>
    <row r="94" spans="1:14" ht="38.25" x14ac:dyDescent="0.2">
      <c r="A94" s="45">
        <v>80020</v>
      </c>
      <c r="B94" s="27" t="s">
        <v>202</v>
      </c>
      <c r="C94" s="28"/>
      <c r="D94" s="27" t="s">
        <v>203</v>
      </c>
      <c r="E94" s="2"/>
      <c r="F94" s="27" t="s">
        <v>417</v>
      </c>
      <c r="G94" s="28" t="s">
        <v>434</v>
      </c>
      <c r="H94" s="6">
        <v>42712</v>
      </c>
      <c r="I94" s="10"/>
      <c r="J94" s="2"/>
      <c r="K94" s="10"/>
      <c r="L94" s="28"/>
      <c r="M94" s="6"/>
      <c r="N94" s="2"/>
    </row>
    <row r="95" spans="1:14" ht="51" x14ac:dyDescent="0.2">
      <c r="A95" s="45">
        <v>80030</v>
      </c>
      <c r="B95" s="27" t="s">
        <v>204</v>
      </c>
      <c r="C95" s="28"/>
      <c r="D95" s="27" t="s">
        <v>205</v>
      </c>
      <c r="E95" s="2"/>
      <c r="F95" s="27" t="s">
        <v>417</v>
      </c>
      <c r="G95" s="28" t="s">
        <v>434</v>
      </c>
      <c r="H95" s="6">
        <v>42712</v>
      </c>
      <c r="I95" s="10"/>
      <c r="J95" s="2"/>
      <c r="K95" s="10"/>
      <c r="L95" s="28"/>
      <c r="M95" s="6"/>
      <c r="N95" s="2"/>
    </row>
    <row r="96" spans="1:14" ht="51" x14ac:dyDescent="0.2">
      <c r="A96" s="45">
        <v>80040</v>
      </c>
      <c r="B96" s="27" t="s">
        <v>206</v>
      </c>
      <c r="C96" s="28"/>
      <c r="D96" s="27" t="s">
        <v>207</v>
      </c>
      <c r="E96" s="2"/>
      <c r="F96" s="27" t="s">
        <v>417</v>
      </c>
      <c r="G96" s="28" t="s">
        <v>434</v>
      </c>
      <c r="H96" s="6">
        <v>42712</v>
      </c>
      <c r="I96" s="10"/>
      <c r="J96" s="2"/>
      <c r="K96" s="10"/>
      <c r="L96" s="28"/>
      <c r="M96" s="6"/>
      <c r="N96" s="2"/>
    </row>
    <row r="97" spans="1:14" ht="38.25" x14ac:dyDescent="0.2">
      <c r="A97" s="45">
        <v>80050</v>
      </c>
      <c r="B97" s="27" t="s">
        <v>208</v>
      </c>
      <c r="C97" s="28"/>
      <c r="D97" s="27" t="s">
        <v>209</v>
      </c>
      <c r="E97" s="2"/>
      <c r="F97" s="27" t="s">
        <v>417</v>
      </c>
      <c r="G97" s="28" t="s">
        <v>434</v>
      </c>
      <c r="H97" s="6">
        <v>42712</v>
      </c>
      <c r="I97" s="10"/>
      <c r="J97" s="2"/>
      <c r="K97" s="10"/>
      <c r="L97" s="28"/>
      <c r="M97" s="6"/>
      <c r="N97" s="2"/>
    </row>
    <row r="98" spans="1:14" ht="25.5" x14ac:dyDescent="0.2">
      <c r="A98" s="45">
        <v>80060</v>
      </c>
      <c r="B98" s="27" t="s">
        <v>210</v>
      </c>
      <c r="C98" s="28"/>
      <c r="D98" s="27" t="s">
        <v>211</v>
      </c>
      <c r="E98" s="2"/>
      <c r="F98" s="27" t="s">
        <v>417</v>
      </c>
      <c r="G98" s="28" t="s">
        <v>434</v>
      </c>
      <c r="H98" s="6">
        <v>42712</v>
      </c>
      <c r="I98" s="10"/>
      <c r="J98" s="2"/>
      <c r="K98" s="10"/>
      <c r="L98" s="28"/>
      <c r="M98" s="6"/>
      <c r="N98" s="2"/>
    </row>
    <row r="99" spans="1:14" ht="38.25" x14ac:dyDescent="0.2">
      <c r="A99" s="45">
        <v>80070</v>
      </c>
      <c r="B99" s="27" t="s">
        <v>212</v>
      </c>
      <c r="C99" s="28"/>
      <c r="D99" s="27" t="s">
        <v>213</v>
      </c>
      <c r="E99" s="2"/>
      <c r="F99" s="27" t="s">
        <v>417</v>
      </c>
      <c r="G99" s="28" t="s">
        <v>434</v>
      </c>
      <c r="H99" s="6">
        <v>42712</v>
      </c>
      <c r="I99" s="10"/>
      <c r="J99" s="2"/>
      <c r="K99" s="10"/>
      <c r="L99" s="28"/>
      <c r="M99" s="6"/>
      <c r="N99" s="2"/>
    </row>
    <row r="100" spans="1:14" ht="25.5" x14ac:dyDescent="0.2">
      <c r="A100" s="45">
        <v>80080</v>
      </c>
      <c r="B100" s="27" t="s">
        <v>214</v>
      </c>
      <c r="C100" s="28"/>
      <c r="D100" s="27" t="s">
        <v>215</v>
      </c>
      <c r="E100" s="2"/>
      <c r="F100" s="27" t="s">
        <v>417</v>
      </c>
      <c r="G100" s="28" t="s">
        <v>434</v>
      </c>
      <c r="H100" s="6">
        <v>42712</v>
      </c>
      <c r="I100" s="10"/>
      <c r="J100" s="2"/>
      <c r="K100" s="10"/>
      <c r="L100" s="28"/>
      <c r="M100" s="6"/>
      <c r="N100" s="2"/>
    </row>
    <row r="101" spans="1:14" ht="38.25" x14ac:dyDescent="0.2">
      <c r="A101" s="45">
        <v>80090</v>
      </c>
      <c r="B101" s="27" t="s">
        <v>216</v>
      </c>
      <c r="C101" s="28"/>
      <c r="D101" s="27" t="s">
        <v>217</v>
      </c>
      <c r="E101" s="2"/>
      <c r="F101" s="27" t="s">
        <v>417</v>
      </c>
      <c r="G101" s="28" t="s">
        <v>434</v>
      </c>
      <c r="H101" s="6">
        <v>42712</v>
      </c>
      <c r="I101" s="10"/>
      <c r="J101" s="2"/>
      <c r="K101" s="10"/>
      <c r="L101" s="28"/>
      <c r="M101" s="6"/>
      <c r="N101" s="2"/>
    </row>
    <row r="102" spans="1:14" ht="63.75" x14ac:dyDescent="0.2">
      <c r="A102" s="46">
        <v>80100</v>
      </c>
      <c r="B102" s="47" t="s">
        <v>218</v>
      </c>
      <c r="C102" s="48"/>
      <c r="D102" s="47" t="s">
        <v>219</v>
      </c>
      <c r="E102" s="49"/>
      <c r="F102" s="47" t="s">
        <v>447</v>
      </c>
      <c r="G102" s="48" t="s">
        <v>420</v>
      </c>
      <c r="H102" s="6">
        <v>42712</v>
      </c>
      <c r="I102" s="10"/>
      <c r="J102" s="2"/>
      <c r="K102" s="10"/>
      <c r="L102" s="28"/>
      <c r="M102" s="6"/>
      <c r="N102" s="2"/>
    </row>
    <row r="103" spans="1:14" ht="25.5" x14ac:dyDescent="0.2">
      <c r="A103" s="45">
        <v>80110</v>
      </c>
      <c r="B103" s="27" t="s">
        <v>190</v>
      </c>
      <c r="C103" s="28"/>
      <c r="D103" s="27" t="s">
        <v>220</v>
      </c>
      <c r="E103" s="2"/>
      <c r="F103" s="27" t="s">
        <v>417</v>
      </c>
      <c r="G103" s="28" t="s">
        <v>420</v>
      </c>
      <c r="H103" s="6">
        <v>42712</v>
      </c>
      <c r="I103" s="10"/>
      <c r="J103" s="2"/>
      <c r="K103" s="10"/>
      <c r="L103" s="28"/>
      <c r="M103" s="6"/>
      <c r="N103" s="2"/>
    </row>
    <row r="104" spans="1:14" x14ac:dyDescent="0.2">
      <c r="A104" s="45">
        <v>90000</v>
      </c>
      <c r="B104" s="27" t="s">
        <v>221</v>
      </c>
      <c r="C104" s="28"/>
      <c r="D104" s="2"/>
      <c r="E104" s="2"/>
      <c r="F104" s="27"/>
      <c r="G104" s="28"/>
      <c r="H104" s="6"/>
      <c r="I104" s="10"/>
      <c r="J104" s="2"/>
      <c r="K104" s="10"/>
      <c r="L104" s="28"/>
      <c r="M104" s="6"/>
      <c r="N104" s="2"/>
    </row>
    <row r="105" spans="1:14" ht="25.5" x14ac:dyDescent="0.2">
      <c r="A105" s="45">
        <v>90010</v>
      </c>
      <c r="B105" s="27" t="s">
        <v>222</v>
      </c>
      <c r="C105" s="28"/>
      <c r="D105" s="27" t="s">
        <v>223</v>
      </c>
      <c r="E105" s="27" t="s">
        <v>411</v>
      </c>
      <c r="F105" s="27" t="s">
        <v>417</v>
      </c>
      <c r="G105" s="28" t="s">
        <v>420</v>
      </c>
      <c r="H105" s="6">
        <v>42712</v>
      </c>
      <c r="I105" s="10"/>
      <c r="J105" s="2"/>
      <c r="K105" s="10"/>
      <c r="L105" s="28"/>
      <c r="M105" s="6"/>
      <c r="N105" s="2"/>
    </row>
    <row r="106" spans="1:14" ht="38.25" x14ac:dyDescent="0.2">
      <c r="A106" s="45">
        <v>90020</v>
      </c>
      <c r="B106" s="27" t="s">
        <v>224</v>
      </c>
      <c r="C106" s="28"/>
      <c r="D106" s="27" t="s">
        <v>225</v>
      </c>
      <c r="E106" s="27" t="s">
        <v>411</v>
      </c>
      <c r="F106" s="27" t="s">
        <v>417</v>
      </c>
      <c r="G106" s="28" t="s">
        <v>420</v>
      </c>
      <c r="H106" s="6">
        <v>42712</v>
      </c>
      <c r="I106" s="10"/>
      <c r="J106" s="2"/>
      <c r="K106" s="10"/>
      <c r="L106" s="28"/>
      <c r="M106" s="6"/>
      <c r="N106" s="2"/>
    </row>
    <row r="107" spans="1:14" ht="38.25" x14ac:dyDescent="0.2">
      <c r="A107" s="45">
        <v>90030</v>
      </c>
      <c r="B107" s="27" t="s">
        <v>226</v>
      </c>
      <c r="C107" s="28"/>
      <c r="D107" s="27" t="s">
        <v>227</v>
      </c>
      <c r="E107" s="27" t="s">
        <v>411</v>
      </c>
      <c r="F107" s="27" t="s">
        <v>417</v>
      </c>
      <c r="G107" s="28" t="s">
        <v>420</v>
      </c>
      <c r="H107" s="6">
        <v>42712</v>
      </c>
      <c r="I107" s="10"/>
      <c r="J107" s="2"/>
      <c r="K107" s="10"/>
      <c r="L107" s="28"/>
      <c r="M107" s="6"/>
      <c r="N107" s="2"/>
    </row>
    <row r="108" spans="1:14" x14ac:dyDescent="0.2">
      <c r="A108" s="45">
        <v>90040</v>
      </c>
      <c r="B108" s="27" t="s">
        <v>210</v>
      </c>
      <c r="C108" s="28"/>
      <c r="D108" s="27" t="s">
        <v>228</v>
      </c>
      <c r="E108" s="27" t="s">
        <v>411</v>
      </c>
      <c r="F108" s="27" t="s">
        <v>417</v>
      </c>
      <c r="G108" s="28" t="s">
        <v>420</v>
      </c>
      <c r="H108" s="6">
        <v>42712</v>
      </c>
      <c r="I108" s="10"/>
      <c r="J108" s="2"/>
      <c r="K108" s="10"/>
      <c r="L108" s="28"/>
      <c r="M108" s="6"/>
      <c r="N108" s="2"/>
    </row>
    <row r="109" spans="1:14" ht="25.5" x14ac:dyDescent="0.2">
      <c r="A109" s="45">
        <v>90050</v>
      </c>
      <c r="B109" s="27" t="s">
        <v>229</v>
      </c>
      <c r="C109" s="28"/>
      <c r="D109" s="27" t="s">
        <v>230</v>
      </c>
      <c r="E109" s="27" t="s">
        <v>411</v>
      </c>
      <c r="F109" s="27" t="s">
        <v>457</v>
      </c>
      <c r="G109" s="28" t="s">
        <v>420</v>
      </c>
      <c r="H109" s="6">
        <v>42712</v>
      </c>
      <c r="I109" s="10"/>
      <c r="J109" s="2"/>
      <c r="K109" s="10"/>
      <c r="L109" s="28" t="s">
        <v>463</v>
      </c>
      <c r="M109" s="6">
        <v>42713</v>
      </c>
      <c r="N109" s="2"/>
    </row>
    <row r="110" spans="1:14" ht="38.25" x14ac:dyDescent="0.2">
      <c r="A110" s="45">
        <v>90060</v>
      </c>
      <c r="B110" s="27" t="s">
        <v>231</v>
      </c>
      <c r="C110" s="28"/>
      <c r="D110" s="27" t="s">
        <v>232</v>
      </c>
      <c r="E110" s="27" t="s">
        <v>411</v>
      </c>
      <c r="F110" s="27" t="s">
        <v>417</v>
      </c>
      <c r="G110" s="28" t="s">
        <v>420</v>
      </c>
      <c r="H110" s="6">
        <v>42712</v>
      </c>
      <c r="I110" s="10"/>
      <c r="J110" s="2"/>
      <c r="K110" s="10"/>
      <c r="L110" s="28"/>
      <c r="M110" s="6"/>
      <c r="N110" s="2"/>
    </row>
    <row r="111" spans="1:14" ht="38.25" x14ac:dyDescent="0.2">
      <c r="A111" s="45">
        <v>90070</v>
      </c>
      <c r="B111" s="27" t="s">
        <v>233</v>
      </c>
      <c r="C111" s="28"/>
      <c r="D111" s="27" t="s">
        <v>234</v>
      </c>
      <c r="E111" s="27" t="s">
        <v>411</v>
      </c>
      <c r="F111" s="27" t="s">
        <v>417</v>
      </c>
      <c r="G111" s="28" t="s">
        <v>420</v>
      </c>
      <c r="H111" s="6">
        <v>42712</v>
      </c>
      <c r="I111" s="10"/>
      <c r="J111" s="2"/>
      <c r="K111" s="10"/>
      <c r="L111" s="28"/>
      <c r="M111" s="6"/>
      <c r="N111" s="2"/>
    </row>
    <row r="112" spans="1:14" ht="25.5" x14ac:dyDescent="0.2">
      <c r="A112" s="45">
        <v>90080</v>
      </c>
      <c r="B112" s="27" t="s">
        <v>235</v>
      </c>
      <c r="C112" s="28"/>
      <c r="D112" s="27" t="s">
        <v>236</v>
      </c>
      <c r="E112" s="27" t="s">
        <v>411</v>
      </c>
      <c r="F112" s="27" t="s">
        <v>458</v>
      </c>
      <c r="G112" s="28" t="s">
        <v>420</v>
      </c>
      <c r="H112" s="6">
        <v>42712</v>
      </c>
      <c r="I112" s="10"/>
      <c r="J112" s="2"/>
      <c r="K112" s="10"/>
      <c r="L112" s="28" t="s">
        <v>463</v>
      </c>
      <c r="M112" s="6">
        <v>42713</v>
      </c>
      <c r="N112" s="27" t="s">
        <v>465</v>
      </c>
    </row>
    <row r="113" spans="1:14" ht="25.5" x14ac:dyDescent="0.2">
      <c r="A113" s="45">
        <v>90090</v>
      </c>
      <c r="B113" s="27" t="s">
        <v>237</v>
      </c>
      <c r="C113" s="28"/>
      <c r="D113" s="27" t="s">
        <v>238</v>
      </c>
      <c r="E113" s="27" t="s">
        <v>411</v>
      </c>
      <c r="F113" s="27" t="s">
        <v>458</v>
      </c>
      <c r="G113" s="28" t="s">
        <v>420</v>
      </c>
      <c r="H113" s="6">
        <v>42712</v>
      </c>
      <c r="I113" s="10"/>
      <c r="J113" s="2"/>
      <c r="K113" s="10"/>
      <c r="L113" s="28" t="s">
        <v>463</v>
      </c>
      <c r="M113" s="6">
        <v>42713</v>
      </c>
      <c r="N113" s="27" t="s">
        <v>465</v>
      </c>
    </row>
    <row r="114" spans="1:14" ht="38.25" x14ac:dyDescent="0.2">
      <c r="A114" s="45">
        <v>90100</v>
      </c>
      <c r="B114" s="27" t="s">
        <v>239</v>
      </c>
      <c r="C114" s="28"/>
      <c r="D114" s="27" t="s">
        <v>240</v>
      </c>
      <c r="E114" s="27" t="s">
        <v>411</v>
      </c>
      <c r="F114" s="27" t="s">
        <v>458</v>
      </c>
      <c r="G114" s="28" t="s">
        <v>420</v>
      </c>
      <c r="H114" s="6">
        <v>42712</v>
      </c>
      <c r="I114" s="10"/>
      <c r="J114" s="2"/>
      <c r="K114" s="10"/>
      <c r="L114" s="28" t="s">
        <v>463</v>
      </c>
      <c r="M114" s="6">
        <v>42713</v>
      </c>
      <c r="N114" s="27" t="s">
        <v>465</v>
      </c>
    </row>
    <row r="115" spans="1:14" ht="25.5" x14ac:dyDescent="0.2">
      <c r="A115" s="45">
        <v>90110</v>
      </c>
      <c r="B115" s="27" t="s">
        <v>241</v>
      </c>
      <c r="C115" s="28"/>
      <c r="D115" s="27" t="s">
        <v>242</v>
      </c>
      <c r="E115" s="27" t="s">
        <v>411</v>
      </c>
      <c r="F115" s="27" t="s">
        <v>458</v>
      </c>
      <c r="G115" s="28" t="s">
        <v>420</v>
      </c>
      <c r="H115" s="6">
        <v>42712</v>
      </c>
      <c r="I115" s="10"/>
      <c r="J115" s="2"/>
      <c r="K115" s="10"/>
      <c r="L115" s="28" t="s">
        <v>463</v>
      </c>
      <c r="M115" s="6">
        <v>42713</v>
      </c>
      <c r="N115" s="27" t="s">
        <v>465</v>
      </c>
    </row>
    <row r="116" spans="1:14" ht="38.25" x14ac:dyDescent="0.2">
      <c r="A116" s="45">
        <v>90120</v>
      </c>
      <c r="B116" s="27" t="s">
        <v>243</v>
      </c>
      <c r="C116" s="28"/>
      <c r="D116" s="27" t="s">
        <v>244</v>
      </c>
      <c r="E116" s="27" t="s">
        <v>411</v>
      </c>
      <c r="F116" s="27" t="s">
        <v>458</v>
      </c>
      <c r="G116" s="28" t="s">
        <v>420</v>
      </c>
      <c r="H116" s="6">
        <v>42712</v>
      </c>
      <c r="I116" s="10"/>
      <c r="J116" s="2"/>
      <c r="K116" s="10"/>
      <c r="L116" s="28" t="s">
        <v>463</v>
      </c>
      <c r="M116" s="6">
        <v>42713</v>
      </c>
      <c r="N116" s="27" t="s">
        <v>465</v>
      </c>
    </row>
    <row r="117" spans="1:14" ht="38.25" x14ac:dyDescent="0.2">
      <c r="A117" s="45">
        <v>90130</v>
      </c>
      <c r="B117" s="27" t="s">
        <v>245</v>
      </c>
      <c r="C117" s="28"/>
      <c r="D117" s="27" t="s">
        <v>246</v>
      </c>
      <c r="E117" s="27" t="s">
        <v>411</v>
      </c>
      <c r="F117" s="27" t="s">
        <v>458</v>
      </c>
      <c r="G117" s="28" t="s">
        <v>420</v>
      </c>
      <c r="H117" s="6">
        <v>42712</v>
      </c>
      <c r="I117" s="10"/>
      <c r="J117" s="2"/>
      <c r="K117" s="10"/>
      <c r="L117" s="28" t="s">
        <v>463</v>
      </c>
      <c r="M117" s="6">
        <v>42713</v>
      </c>
      <c r="N117" s="27" t="s">
        <v>465</v>
      </c>
    </row>
    <row r="118" spans="1:14" ht="51" x14ac:dyDescent="0.2">
      <c r="A118" s="45">
        <v>90140</v>
      </c>
      <c r="B118" s="27" t="s">
        <v>247</v>
      </c>
      <c r="C118" s="28"/>
      <c r="D118" s="27" t="s">
        <v>248</v>
      </c>
      <c r="E118" s="27" t="s">
        <v>411</v>
      </c>
      <c r="F118" s="27" t="s">
        <v>458</v>
      </c>
      <c r="G118" s="28" t="s">
        <v>420</v>
      </c>
      <c r="H118" s="6">
        <v>42712</v>
      </c>
      <c r="I118" s="10"/>
      <c r="J118" s="2"/>
      <c r="K118" s="10"/>
      <c r="L118" s="28" t="s">
        <v>463</v>
      </c>
      <c r="M118" s="6">
        <v>42713</v>
      </c>
      <c r="N118" s="27" t="s">
        <v>465</v>
      </c>
    </row>
    <row r="119" spans="1:14" ht="51" x14ac:dyDescent="0.2">
      <c r="A119" s="45">
        <v>90150</v>
      </c>
      <c r="B119" s="27" t="s">
        <v>249</v>
      </c>
      <c r="C119" s="28"/>
      <c r="D119" s="27" t="s">
        <v>250</v>
      </c>
      <c r="E119" s="27" t="s">
        <v>411</v>
      </c>
      <c r="F119" s="27" t="s">
        <v>458</v>
      </c>
      <c r="G119" s="28" t="s">
        <v>420</v>
      </c>
      <c r="H119" s="6">
        <v>42712</v>
      </c>
      <c r="I119" s="10"/>
      <c r="J119" s="2"/>
      <c r="K119" s="10"/>
      <c r="L119" s="28" t="s">
        <v>463</v>
      </c>
      <c r="M119" s="6">
        <v>42713</v>
      </c>
      <c r="N119" s="27" t="s">
        <v>465</v>
      </c>
    </row>
    <row r="120" spans="1:14" ht="63.75" x14ac:dyDescent="0.2">
      <c r="A120" s="45">
        <v>90160</v>
      </c>
      <c r="B120" s="27" t="s">
        <v>251</v>
      </c>
      <c r="C120" s="28"/>
      <c r="D120" s="27" t="s">
        <v>252</v>
      </c>
      <c r="E120" s="27" t="s">
        <v>411</v>
      </c>
      <c r="F120" s="27" t="s">
        <v>458</v>
      </c>
      <c r="G120" s="28" t="s">
        <v>420</v>
      </c>
      <c r="H120" s="6">
        <v>42712</v>
      </c>
      <c r="I120" s="10"/>
      <c r="J120" s="2"/>
      <c r="K120" s="10"/>
      <c r="L120" s="28" t="s">
        <v>463</v>
      </c>
      <c r="M120" s="6">
        <v>42713</v>
      </c>
      <c r="N120" s="27" t="s">
        <v>465</v>
      </c>
    </row>
    <row r="121" spans="1:14" ht="25.5" x14ac:dyDescent="0.2">
      <c r="A121" s="45">
        <v>90170</v>
      </c>
      <c r="B121" s="27" t="s">
        <v>253</v>
      </c>
      <c r="C121" s="28"/>
      <c r="D121" s="27" t="s">
        <v>254</v>
      </c>
      <c r="E121" s="27" t="s">
        <v>411</v>
      </c>
      <c r="F121" s="27" t="s">
        <v>417</v>
      </c>
      <c r="G121" s="28" t="s">
        <v>420</v>
      </c>
      <c r="H121" s="6">
        <v>42712</v>
      </c>
      <c r="I121" s="10"/>
      <c r="J121" s="2"/>
      <c r="K121" s="10"/>
      <c r="L121" s="28"/>
      <c r="M121" s="6"/>
      <c r="N121" s="2"/>
    </row>
    <row r="122" spans="1:14" ht="38.25" x14ac:dyDescent="0.2">
      <c r="A122" s="45">
        <v>90180</v>
      </c>
      <c r="B122" s="27" t="s">
        <v>255</v>
      </c>
      <c r="C122" s="28"/>
      <c r="D122" s="27" t="s">
        <v>256</v>
      </c>
      <c r="E122" s="27" t="s">
        <v>411</v>
      </c>
      <c r="F122" s="27" t="s">
        <v>417</v>
      </c>
      <c r="G122" s="28" t="s">
        <v>420</v>
      </c>
      <c r="H122" s="6">
        <v>42712</v>
      </c>
      <c r="I122" s="10"/>
      <c r="J122" s="2"/>
      <c r="K122" s="10"/>
      <c r="L122" s="28"/>
      <c r="M122" s="6"/>
      <c r="N122" s="2"/>
    </row>
    <row r="123" spans="1:14" ht="63.75" x14ac:dyDescent="0.2">
      <c r="A123" s="45">
        <v>90190</v>
      </c>
      <c r="B123" s="27" t="s">
        <v>257</v>
      </c>
      <c r="C123" s="28"/>
      <c r="D123" s="27" t="s">
        <v>258</v>
      </c>
      <c r="E123" s="27" t="s">
        <v>411</v>
      </c>
      <c r="F123" s="27" t="s">
        <v>417</v>
      </c>
      <c r="G123" s="28" t="s">
        <v>420</v>
      </c>
      <c r="H123" s="6">
        <v>42712</v>
      </c>
      <c r="I123" s="10"/>
      <c r="J123" s="2"/>
      <c r="K123" s="10"/>
      <c r="L123" s="28"/>
      <c r="M123" s="6"/>
      <c r="N123" s="2"/>
    </row>
    <row r="124" spans="1:14" ht="63.75" x14ac:dyDescent="0.2">
      <c r="A124" s="45">
        <v>90200</v>
      </c>
      <c r="B124" s="27" t="s">
        <v>259</v>
      </c>
      <c r="C124" s="28"/>
      <c r="D124" s="27" t="s">
        <v>260</v>
      </c>
      <c r="E124" s="27" t="s">
        <v>411</v>
      </c>
      <c r="F124" s="27" t="s">
        <v>417</v>
      </c>
      <c r="G124" s="28" t="s">
        <v>420</v>
      </c>
      <c r="H124" s="6">
        <v>42712</v>
      </c>
      <c r="I124" s="10"/>
      <c r="J124" s="2"/>
      <c r="K124" s="10"/>
      <c r="L124" s="28"/>
      <c r="M124" s="6"/>
      <c r="N124" s="2"/>
    </row>
    <row r="125" spans="1:14" ht="25.5" x14ac:dyDescent="0.2">
      <c r="A125" s="45">
        <v>90210</v>
      </c>
      <c r="B125" s="27" t="s">
        <v>261</v>
      </c>
      <c r="C125" s="28"/>
      <c r="D125" s="27" t="s">
        <v>262</v>
      </c>
      <c r="E125" s="27" t="s">
        <v>411</v>
      </c>
      <c r="F125" s="27" t="s">
        <v>417</v>
      </c>
      <c r="G125" s="28" t="s">
        <v>420</v>
      </c>
      <c r="H125" s="6">
        <v>42712</v>
      </c>
      <c r="I125" s="10"/>
      <c r="J125" s="2"/>
      <c r="K125" s="10"/>
      <c r="L125" s="28"/>
      <c r="M125" s="6"/>
      <c r="N125" s="2"/>
    </row>
    <row r="126" spans="1:14" ht="25.5" x14ac:dyDescent="0.2">
      <c r="A126" s="45">
        <v>90220</v>
      </c>
      <c r="B126" s="27" t="s">
        <v>263</v>
      </c>
      <c r="C126" s="28"/>
      <c r="D126" s="27" t="s">
        <v>264</v>
      </c>
      <c r="E126" s="27" t="s">
        <v>411</v>
      </c>
      <c r="F126" s="27" t="s">
        <v>417</v>
      </c>
      <c r="G126" s="28" t="s">
        <v>420</v>
      </c>
      <c r="H126" s="6">
        <v>42712</v>
      </c>
      <c r="I126" s="10"/>
      <c r="J126" s="2"/>
      <c r="K126" s="10"/>
      <c r="L126" s="28"/>
      <c r="M126" s="6"/>
      <c r="N126" s="2"/>
    </row>
    <row r="127" spans="1:14" ht="51" x14ac:dyDescent="0.2">
      <c r="A127" s="45">
        <v>90230</v>
      </c>
      <c r="B127" s="27" t="s">
        <v>265</v>
      </c>
      <c r="C127" s="28"/>
      <c r="D127" s="27" t="s">
        <v>266</v>
      </c>
      <c r="E127" s="27" t="s">
        <v>411</v>
      </c>
      <c r="F127" s="27" t="s">
        <v>417</v>
      </c>
      <c r="G127" s="28" t="s">
        <v>420</v>
      </c>
      <c r="H127" s="6">
        <v>42712</v>
      </c>
      <c r="I127" s="10"/>
      <c r="J127" s="2"/>
      <c r="K127" s="10"/>
      <c r="L127" s="28"/>
      <c r="M127" s="6"/>
      <c r="N127" s="2"/>
    </row>
    <row r="128" spans="1:14" ht="25.5" x14ac:dyDescent="0.2">
      <c r="A128" s="45">
        <v>90240</v>
      </c>
      <c r="B128" s="27" t="s">
        <v>267</v>
      </c>
      <c r="C128" s="28"/>
      <c r="D128" s="27" t="s">
        <v>268</v>
      </c>
      <c r="E128" s="27" t="s">
        <v>411</v>
      </c>
      <c r="F128" s="27" t="s">
        <v>417</v>
      </c>
      <c r="G128" s="28" t="s">
        <v>420</v>
      </c>
      <c r="H128" s="6">
        <v>42712</v>
      </c>
      <c r="I128" s="10"/>
      <c r="J128" s="2"/>
      <c r="K128" s="10"/>
      <c r="L128" s="28"/>
      <c r="M128" s="6"/>
      <c r="N128" s="2"/>
    </row>
    <row r="129" spans="1:14" ht="51" x14ac:dyDescent="0.2">
      <c r="A129" s="45">
        <v>90250</v>
      </c>
      <c r="B129" s="27" t="s">
        <v>269</v>
      </c>
      <c r="C129" s="28"/>
      <c r="D129" s="27" t="s">
        <v>270</v>
      </c>
      <c r="E129" s="27" t="s">
        <v>411</v>
      </c>
      <c r="F129" s="27" t="s">
        <v>417</v>
      </c>
      <c r="G129" s="28" t="s">
        <v>420</v>
      </c>
      <c r="H129" s="6">
        <v>42712</v>
      </c>
      <c r="I129" s="10"/>
      <c r="J129" s="2"/>
      <c r="K129" s="10"/>
      <c r="L129" s="28"/>
      <c r="M129" s="6"/>
      <c r="N129" s="2"/>
    </row>
    <row r="130" spans="1:14" ht="63.75" x14ac:dyDescent="0.2">
      <c r="A130" s="45">
        <v>90260</v>
      </c>
      <c r="B130" s="27" t="s">
        <v>271</v>
      </c>
      <c r="C130" s="28"/>
      <c r="D130" s="27" t="s">
        <v>272</v>
      </c>
      <c r="E130" s="27" t="s">
        <v>411</v>
      </c>
      <c r="F130" s="27" t="s">
        <v>417</v>
      </c>
      <c r="G130" s="28" t="s">
        <v>420</v>
      </c>
      <c r="H130" s="6">
        <v>42712</v>
      </c>
      <c r="I130" s="10"/>
      <c r="J130" s="2"/>
      <c r="K130" s="10"/>
      <c r="L130" s="28"/>
      <c r="M130" s="6"/>
      <c r="N130" s="2"/>
    </row>
    <row r="131" spans="1:14" ht="25.5" x14ac:dyDescent="0.2">
      <c r="A131" s="45">
        <v>90270</v>
      </c>
      <c r="B131" s="27" t="s">
        <v>210</v>
      </c>
      <c r="C131" s="28"/>
      <c r="D131" s="27" t="s">
        <v>273</v>
      </c>
      <c r="E131" s="27" t="s">
        <v>411</v>
      </c>
      <c r="F131" s="27" t="s">
        <v>417</v>
      </c>
      <c r="G131" s="28" t="s">
        <v>420</v>
      </c>
      <c r="H131" s="6">
        <v>42712</v>
      </c>
      <c r="I131" s="10"/>
      <c r="J131" s="2"/>
      <c r="K131" s="10"/>
      <c r="L131" s="28"/>
      <c r="M131" s="6"/>
      <c r="N131" s="2"/>
    </row>
    <row r="132" spans="1:14" ht="38.25" x14ac:dyDescent="0.2">
      <c r="A132" s="45">
        <v>90280</v>
      </c>
      <c r="B132" s="27" t="s">
        <v>274</v>
      </c>
      <c r="C132" s="28"/>
      <c r="D132" s="27" t="s">
        <v>275</v>
      </c>
      <c r="E132" s="27" t="s">
        <v>411</v>
      </c>
      <c r="F132" s="27" t="s">
        <v>417</v>
      </c>
      <c r="G132" s="28" t="s">
        <v>420</v>
      </c>
      <c r="H132" s="6">
        <v>42712</v>
      </c>
      <c r="I132" s="10"/>
      <c r="J132" s="2"/>
      <c r="K132" s="10"/>
      <c r="L132" s="28"/>
      <c r="M132" s="6"/>
      <c r="N132" s="2"/>
    </row>
    <row r="133" spans="1:14" ht="25.5" x14ac:dyDescent="0.2">
      <c r="A133" s="45">
        <v>90290</v>
      </c>
      <c r="B133" s="27" t="s">
        <v>276</v>
      </c>
      <c r="C133" s="28"/>
      <c r="D133" s="27" t="s">
        <v>277</v>
      </c>
      <c r="E133" s="27" t="s">
        <v>411</v>
      </c>
      <c r="F133" s="27" t="s">
        <v>417</v>
      </c>
      <c r="G133" s="28" t="s">
        <v>420</v>
      </c>
      <c r="H133" s="6">
        <v>42712</v>
      </c>
      <c r="I133" s="10"/>
      <c r="J133" s="2"/>
      <c r="K133" s="10"/>
      <c r="L133" s="28"/>
      <c r="M133" s="6"/>
      <c r="N133" s="2"/>
    </row>
    <row r="134" spans="1:14" ht="25.5" x14ac:dyDescent="0.2">
      <c r="A134" s="45">
        <v>90300</v>
      </c>
      <c r="B134" s="27" t="s">
        <v>278</v>
      </c>
      <c r="C134" s="28"/>
      <c r="D134" s="27" t="s">
        <v>279</v>
      </c>
      <c r="E134" s="2"/>
      <c r="F134" s="27"/>
      <c r="G134" s="28"/>
      <c r="H134" s="6"/>
      <c r="I134" s="10"/>
      <c r="J134" s="2"/>
      <c r="K134" s="10"/>
      <c r="L134" s="28"/>
      <c r="M134" s="6"/>
      <c r="N134" s="2"/>
    </row>
    <row r="135" spans="1:14" ht="25.5" x14ac:dyDescent="0.2">
      <c r="A135" s="45">
        <v>90310</v>
      </c>
      <c r="B135" s="27" t="s">
        <v>280</v>
      </c>
      <c r="C135" s="28"/>
      <c r="D135" s="27" t="s">
        <v>281</v>
      </c>
      <c r="E135" s="27" t="s">
        <v>411</v>
      </c>
      <c r="F135" s="27" t="s">
        <v>417</v>
      </c>
      <c r="G135" s="28" t="s">
        <v>420</v>
      </c>
      <c r="H135" s="6">
        <v>42712</v>
      </c>
      <c r="I135" s="10"/>
      <c r="J135" s="2"/>
      <c r="K135" s="10"/>
      <c r="L135" s="28"/>
      <c r="M135" s="6"/>
      <c r="N135" s="2"/>
    </row>
    <row r="136" spans="1:14" ht="51" x14ac:dyDescent="0.2">
      <c r="A136" s="45">
        <v>90320</v>
      </c>
      <c r="B136" s="27" t="s">
        <v>282</v>
      </c>
      <c r="C136" s="28"/>
      <c r="D136" s="27" t="s">
        <v>283</v>
      </c>
      <c r="E136" s="2"/>
      <c r="F136" s="27"/>
      <c r="G136" s="28"/>
      <c r="H136" s="6"/>
      <c r="I136" s="10"/>
      <c r="J136" s="2"/>
      <c r="K136" s="10"/>
      <c r="L136" s="28"/>
      <c r="M136" s="6"/>
      <c r="N136" s="2"/>
    </row>
    <row r="137" spans="1:14" ht="38.25" x14ac:dyDescent="0.2">
      <c r="A137" s="45">
        <v>90330</v>
      </c>
      <c r="B137" s="27" t="s">
        <v>284</v>
      </c>
      <c r="C137" s="28"/>
      <c r="D137" s="27" t="s">
        <v>285</v>
      </c>
      <c r="E137" s="27" t="s">
        <v>411</v>
      </c>
      <c r="F137" s="27" t="s">
        <v>417</v>
      </c>
      <c r="G137" s="28" t="s">
        <v>420</v>
      </c>
      <c r="H137" s="6">
        <v>42712</v>
      </c>
      <c r="I137" s="10"/>
      <c r="J137" s="2"/>
      <c r="K137" s="10"/>
      <c r="L137" s="28"/>
      <c r="M137" s="6"/>
      <c r="N137" s="2"/>
    </row>
    <row r="138" spans="1:14" ht="25.5" x14ac:dyDescent="0.2">
      <c r="A138" s="45">
        <v>90340</v>
      </c>
      <c r="B138" s="27" t="s">
        <v>286</v>
      </c>
      <c r="C138" s="28"/>
      <c r="D138" s="27" t="s">
        <v>287</v>
      </c>
      <c r="E138" s="27" t="s">
        <v>411</v>
      </c>
      <c r="F138" s="27" t="s">
        <v>417</v>
      </c>
      <c r="G138" s="28" t="s">
        <v>420</v>
      </c>
      <c r="H138" s="6">
        <v>42712</v>
      </c>
      <c r="I138" s="10"/>
      <c r="J138" s="2"/>
      <c r="K138" s="10"/>
      <c r="L138" s="28"/>
      <c r="M138" s="6"/>
      <c r="N138" s="2"/>
    </row>
    <row r="139" spans="1:14" ht="51" x14ac:dyDescent="0.2">
      <c r="A139" s="45">
        <v>90350</v>
      </c>
      <c r="B139" s="27" t="s">
        <v>123</v>
      </c>
      <c r="C139" s="28"/>
      <c r="D139" s="27" t="s">
        <v>288</v>
      </c>
      <c r="E139" s="27" t="s">
        <v>411</v>
      </c>
      <c r="F139" s="27" t="s">
        <v>417</v>
      </c>
      <c r="G139" s="28" t="s">
        <v>420</v>
      </c>
      <c r="H139" s="6">
        <v>42712</v>
      </c>
      <c r="I139" s="10"/>
      <c r="J139" s="2"/>
      <c r="K139" s="10"/>
      <c r="L139" s="28"/>
      <c r="M139" s="6"/>
      <c r="N139" s="2"/>
    </row>
    <row r="140" spans="1:14" ht="51" x14ac:dyDescent="0.2">
      <c r="A140" s="45">
        <v>90360</v>
      </c>
      <c r="B140" s="27" t="s">
        <v>289</v>
      </c>
      <c r="C140" s="28"/>
      <c r="D140" s="27" t="s">
        <v>290</v>
      </c>
      <c r="E140" s="27" t="s">
        <v>411</v>
      </c>
      <c r="F140" s="27" t="s">
        <v>455</v>
      </c>
      <c r="G140" s="28" t="s">
        <v>420</v>
      </c>
      <c r="H140" s="6">
        <v>42712</v>
      </c>
      <c r="I140" s="10"/>
      <c r="J140" s="2"/>
      <c r="K140" s="10"/>
      <c r="L140" s="28" t="s">
        <v>463</v>
      </c>
      <c r="M140" s="6">
        <v>42713</v>
      </c>
      <c r="N140" s="27" t="s">
        <v>466</v>
      </c>
    </row>
    <row r="141" spans="1:14" ht="25.5" x14ac:dyDescent="0.2">
      <c r="A141" s="45">
        <v>90370</v>
      </c>
      <c r="B141" s="27" t="s">
        <v>291</v>
      </c>
      <c r="C141" s="28"/>
      <c r="D141" s="27" t="s">
        <v>292</v>
      </c>
      <c r="E141" s="27" t="s">
        <v>411</v>
      </c>
      <c r="F141" s="27" t="s">
        <v>417</v>
      </c>
      <c r="G141" s="28" t="s">
        <v>420</v>
      </c>
      <c r="H141" s="6">
        <v>42712</v>
      </c>
      <c r="I141" s="10"/>
      <c r="J141" s="2"/>
      <c r="K141" s="10"/>
      <c r="L141" s="28"/>
      <c r="M141" s="6"/>
      <c r="N141" s="2"/>
    </row>
    <row r="142" spans="1:14" ht="25.5" x14ac:dyDescent="0.2">
      <c r="A142" s="45">
        <v>90380</v>
      </c>
      <c r="B142" s="27" t="s">
        <v>293</v>
      </c>
      <c r="C142" s="28"/>
      <c r="D142" s="27" t="s">
        <v>294</v>
      </c>
      <c r="E142" s="2"/>
      <c r="F142" s="27"/>
      <c r="G142" s="28"/>
      <c r="H142" s="6"/>
      <c r="I142" s="10"/>
      <c r="J142" s="2"/>
      <c r="K142" s="10"/>
      <c r="L142" s="28"/>
      <c r="M142" s="6"/>
      <c r="N142" s="2"/>
    </row>
    <row r="143" spans="1:14" ht="38.25" x14ac:dyDescent="0.2">
      <c r="A143" s="45">
        <v>90390</v>
      </c>
      <c r="B143" s="27" t="s">
        <v>295</v>
      </c>
      <c r="C143" s="28"/>
      <c r="D143" s="27" t="s">
        <v>296</v>
      </c>
      <c r="E143" s="2"/>
      <c r="F143" s="27"/>
      <c r="G143" s="28"/>
      <c r="H143" s="6"/>
      <c r="I143" s="10"/>
      <c r="J143" s="2"/>
      <c r="K143" s="10"/>
      <c r="L143" s="28"/>
      <c r="M143" s="6"/>
      <c r="N143" s="2"/>
    </row>
    <row r="144" spans="1:14" ht="51" x14ac:dyDescent="0.2">
      <c r="A144" s="45">
        <v>90400</v>
      </c>
      <c r="B144" s="27" t="s">
        <v>224</v>
      </c>
      <c r="C144" s="28"/>
      <c r="D144" s="27" t="s">
        <v>297</v>
      </c>
      <c r="E144" s="2"/>
      <c r="F144" s="27"/>
      <c r="G144" s="28"/>
      <c r="H144" s="6"/>
      <c r="I144" s="10"/>
      <c r="J144" s="2"/>
      <c r="K144" s="10"/>
      <c r="L144" s="28"/>
      <c r="M144" s="6"/>
      <c r="N144" s="2"/>
    </row>
    <row r="145" spans="1:14" ht="38.25" x14ac:dyDescent="0.2">
      <c r="A145" s="45">
        <v>90410</v>
      </c>
      <c r="B145" s="27" t="s">
        <v>298</v>
      </c>
      <c r="C145" s="28"/>
      <c r="D145" s="27" t="s">
        <v>299</v>
      </c>
      <c r="E145" s="2"/>
      <c r="F145" s="27"/>
      <c r="G145" s="28"/>
      <c r="H145" s="6"/>
      <c r="I145" s="10"/>
      <c r="J145" s="2"/>
      <c r="K145" s="10"/>
      <c r="L145" s="28"/>
      <c r="M145" s="6"/>
      <c r="N145" s="2"/>
    </row>
    <row r="146" spans="1:14" ht="25.5" x14ac:dyDescent="0.2">
      <c r="A146" s="45">
        <v>90420</v>
      </c>
      <c r="B146" s="27" t="s">
        <v>291</v>
      </c>
      <c r="C146" s="28"/>
      <c r="D146" s="27" t="s">
        <v>300</v>
      </c>
      <c r="E146" s="2"/>
      <c r="F146" s="27"/>
      <c r="G146" s="28"/>
      <c r="H146" s="6"/>
      <c r="I146" s="10"/>
      <c r="J146" s="2"/>
      <c r="K146" s="10"/>
      <c r="L146" s="28"/>
      <c r="M146" s="6"/>
      <c r="N146" s="2"/>
    </row>
    <row r="147" spans="1:14" ht="38.25" x14ac:dyDescent="0.2">
      <c r="A147" s="45">
        <v>90430</v>
      </c>
      <c r="B147" s="27" t="s">
        <v>301</v>
      </c>
      <c r="C147" s="28"/>
      <c r="D147" s="27" t="s">
        <v>302</v>
      </c>
      <c r="E147" s="2"/>
      <c r="F147" s="27"/>
      <c r="G147" s="28"/>
      <c r="H147" s="6"/>
      <c r="I147" s="10"/>
      <c r="J147" s="2"/>
      <c r="K147" s="10"/>
      <c r="L147" s="28"/>
      <c r="M147" s="6"/>
      <c r="N147" s="2"/>
    </row>
    <row r="148" spans="1:14" x14ac:dyDescent="0.2">
      <c r="A148" s="45">
        <v>90440</v>
      </c>
      <c r="B148" s="27" t="s">
        <v>303</v>
      </c>
      <c r="C148" s="28"/>
      <c r="D148" s="27" t="s">
        <v>304</v>
      </c>
      <c r="E148" s="27" t="s">
        <v>411</v>
      </c>
      <c r="F148" s="27" t="s">
        <v>417</v>
      </c>
      <c r="G148" s="28" t="s">
        <v>420</v>
      </c>
      <c r="H148" s="6">
        <v>42712</v>
      </c>
      <c r="I148" s="10"/>
      <c r="J148" s="2"/>
      <c r="K148" s="10"/>
      <c r="L148" s="28"/>
      <c r="M148" s="6"/>
      <c r="N148" s="2"/>
    </row>
    <row r="149" spans="1:14" ht="38.25" x14ac:dyDescent="0.2">
      <c r="A149" s="45">
        <v>90450</v>
      </c>
      <c r="B149" s="27" t="s">
        <v>123</v>
      </c>
      <c r="C149" s="28"/>
      <c r="D149" s="27" t="s">
        <v>305</v>
      </c>
      <c r="E149" s="27" t="s">
        <v>411</v>
      </c>
      <c r="F149" s="27" t="s">
        <v>417</v>
      </c>
      <c r="G149" s="28" t="s">
        <v>420</v>
      </c>
      <c r="H149" s="6">
        <v>42712</v>
      </c>
      <c r="I149" s="10"/>
      <c r="J149" s="2"/>
      <c r="K149" s="10"/>
      <c r="L149" s="28"/>
      <c r="M149" s="6"/>
      <c r="N149" s="2"/>
    </row>
    <row r="150" spans="1:14" ht="25.5" x14ac:dyDescent="0.2">
      <c r="A150" s="45">
        <v>90460</v>
      </c>
      <c r="B150" s="27" t="s">
        <v>131</v>
      </c>
      <c r="C150" s="28"/>
      <c r="D150" s="27" t="s">
        <v>306</v>
      </c>
      <c r="E150" s="27" t="s">
        <v>411</v>
      </c>
      <c r="F150" s="27" t="s">
        <v>459</v>
      </c>
      <c r="G150" s="28" t="s">
        <v>420</v>
      </c>
      <c r="H150" s="6">
        <v>42712</v>
      </c>
      <c r="I150" s="10"/>
      <c r="J150" s="2"/>
      <c r="K150" s="10"/>
      <c r="L150" s="28" t="s">
        <v>463</v>
      </c>
      <c r="M150" s="6">
        <v>42713</v>
      </c>
      <c r="N150" s="27" t="s">
        <v>467</v>
      </c>
    </row>
    <row r="151" spans="1:14" x14ac:dyDescent="0.2">
      <c r="A151" s="45">
        <v>90470</v>
      </c>
      <c r="B151" s="27" t="s">
        <v>307</v>
      </c>
      <c r="C151" s="28"/>
      <c r="D151" s="27" t="s">
        <v>308</v>
      </c>
      <c r="E151" s="27" t="s">
        <v>411</v>
      </c>
      <c r="F151" s="27" t="s">
        <v>417</v>
      </c>
      <c r="G151" s="28" t="s">
        <v>420</v>
      </c>
      <c r="H151" s="6">
        <v>42712</v>
      </c>
      <c r="I151" s="10"/>
      <c r="J151" s="2"/>
      <c r="K151" s="10"/>
      <c r="L151" s="28"/>
      <c r="M151" s="6"/>
      <c r="N151" s="2"/>
    </row>
    <row r="152" spans="1:14" ht="25.5" x14ac:dyDescent="0.2">
      <c r="A152" s="45">
        <v>90480</v>
      </c>
      <c r="B152" s="27" t="s">
        <v>309</v>
      </c>
      <c r="C152" s="28"/>
      <c r="D152" s="27" t="s">
        <v>310</v>
      </c>
      <c r="E152" s="27" t="s">
        <v>411</v>
      </c>
      <c r="F152" s="27"/>
      <c r="G152" s="28"/>
      <c r="H152" s="6"/>
      <c r="I152" s="10"/>
      <c r="J152" s="2"/>
      <c r="K152" s="10"/>
      <c r="L152" s="28"/>
      <c r="M152" s="6"/>
      <c r="N152" s="2"/>
    </row>
    <row r="153" spans="1:14" x14ac:dyDescent="0.2">
      <c r="A153" s="45">
        <v>100000</v>
      </c>
      <c r="B153" s="27" t="s">
        <v>311</v>
      </c>
      <c r="C153" s="28"/>
      <c r="D153" s="2"/>
      <c r="E153" s="2"/>
      <c r="F153" s="27"/>
      <c r="G153" s="28"/>
      <c r="H153" s="6"/>
      <c r="I153" s="10"/>
      <c r="J153" s="2"/>
      <c r="K153" s="10"/>
      <c r="L153" s="28"/>
      <c r="M153" s="6"/>
      <c r="N153" s="2"/>
    </row>
    <row r="154" spans="1:14" ht="38.25" x14ac:dyDescent="0.2">
      <c r="A154" s="45">
        <v>100020</v>
      </c>
      <c r="B154" s="27" t="s">
        <v>312</v>
      </c>
      <c r="C154" s="28"/>
      <c r="D154" s="27" t="s">
        <v>313</v>
      </c>
      <c r="E154" s="27" t="s">
        <v>411</v>
      </c>
      <c r="F154" s="27" t="s">
        <v>417</v>
      </c>
      <c r="G154" s="28" t="s">
        <v>420</v>
      </c>
      <c r="H154" s="6">
        <v>42712</v>
      </c>
      <c r="I154" s="10"/>
      <c r="J154" s="2"/>
      <c r="K154" s="10"/>
      <c r="L154" s="28"/>
      <c r="M154" s="6"/>
      <c r="N154" s="2"/>
    </row>
    <row r="155" spans="1:14" ht="51" x14ac:dyDescent="0.2">
      <c r="A155" s="45">
        <v>100030</v>
      </c>
      <c r="B155" s="27" t="s">
        <v>314</v>
      </c>
      <c r="C155" s="28"/>
      <c r="D155" s="27" t="s">
        <v>315</v>
      </c>
      <c r="E155" s="27" t="s">
        <v>411</v>
      </c>
      <c r="F155" s="27" t="s">
        <v>460</v>
      </c>
      <c r="G155" s="28" t="s">
        <v>420</v>
      </c>
      <c r="H155" s="6">
        <v>42712</v>
      </c>
      <c r="I155" s="10"/>
      <c r="J155" s="2"/>
      <c r="K155" s="10"/>
      <c r="L155" s="28" t="s">
        <v>464</v>
      </c>
      <c r="M155" s="6">
        <v>42713</v>
      </c>
      <c r="N155" s="2"/>
    </row>
    <row r="156" spans="1:14" x14ac:dyDescent="0.2">
      <c r="A156" s="45">
        <v>100040</v>
      </c>
      <c r="B156" s="27"/>
      <c r="C156" s="28"/>
      <c r="D156" s="27"/>
      <c r="E156" s="2"/>
      <c r="F156" s="27"/>
      <c r="G156" s="28"/>
      <c r="H156" s="6"/>
      <c r="I156" s="10"/>
      <c r="J156" s="2"/>
      <c r="K156" s="10"/>
      <c r="L156" s="28"/>
      <c r="M156" s="6"/>
      <c r="N156" s="2"/>
    </row>
    <row r="157" spans="1:14" x14ac:dyDescent="0.2">
      <c r="A157" s="45">
        <v>100050</v>
      </c>
      <c r="B157" s="27"/>
      <c r="C157" s="28"/>
      <c r="D157" s="27"/>
      <c r="E157" s="2"/>
      <c r="F157" s="27"/>
      <c r="G157" s="28"/>
      <c r="H157" s="6"/>
      <c r="I157" s="10"/>
      <c r="J157" s="2"/>
      <c r="K157" s="10"/>
      <c r="L157" s="28"/>
      <c r="M157" s="6"/>
      <c r="N157" s="2"/>
    </row>
    <row r="158" spans="1:14" x14ac:dyDescent="0.2">
      <c r="A158" s="45">
        <v>110000</v>
      </c>
      <c r="B158" s="27" t="s">
        <v>316</v>
      </c>
      <c r="C158" s="28"/>
      <c r="D158" s="2"/>
      <c r="E158" s="2"/>
      <c r="F158" s="27"/>
      <c r="G158" s="28"/>
      <c r="H158" s="6"/>
      <c r="I158" s="10"/>
      <c r="J158" s="2"/>
      <c r="K158" s="10"/>
      <c r="L158" s="28"/>
      <c r="M158" s="6"/>
      <c r="N158" s="2"/>
    </row>
    <row r="159" spans="1:14" ht="25.5" x14ac:dyDescent="0.2">
      <c r="A159" s="45">
        <v>110010</v>
      </c>
      <c r="B159" s="27" t="s">
        <v>317</v>
      </c>
      <c r="C159" s="10"/>
      <c r="D159" s="27" t="s">
        <v>318</v>
      </c>
      <c r="E159" s="27" t="s">
        <v>411</v>
      </c>
      <c r="F159" s="27" t="s">
        <v>417</v>
      </c>
      <c r="G159" s="28" t="s">
        <v>420</v>
      </c>
      <c r="H159" s="6">
        <v>42712</v>
      </c>
      <c r="I159" s="10"/>
      <c r="J159" s="2"/>
      <c r="K159" s="10"/>
      <c r="L159" s="28"/>
      <c r="M159" s="6"/>
      <c r="N159" s="2"/>
    </row>
    <row r="160" spans="1:14" ht="51" x14ac:dyDescent="0.2">
      <c r="A160" s="45">
        <v>110020</v>
      </c>
      <c r="B160" s="27" t="s">
        <v>319</v>
      </c>
      <c r="C160" s="10"/>
      <c r="D160" s="27" t="s">
        <v>320</v>
      </c>
      <c r="E160" s="27" t="s">
        <v>411</v>
      </c>
      <c r="F160" s="27" t="s">
        <v>454</v>
      </c>
      <c r="G160" s="28" t="s">
        <v>420</v>
      </c>
      <c r="H160" s="6">
        <v>42712</v>
      </c>
      <c r="I160" s="10"/>
      <c r="J160" s="2"/>
      <c r="K160" s="10"/>
      <c r="L160" s="28"/>
      <c r="M160" s="6"/>
      <c r="N160" s="2"/>
    </row>
    <row r="161" spans="1:14" ht="38.25" x14ac:dyDescent="0.2">
      <c r="A161" s="45">
        <v>110030</v>
      </c>
      <c r="B161" s="27" t="s">
        <v>321</v>
      </c>
      <c r="C161" s="10"/>
      <c r="D161" s="27" t="s">
        <v>322</v>
      </c>
      <c r="E161" s="27" t="s">
        <v>411</v>
      </c>
      <c r="F161" s="27" t="s">
        <v>426</v>
      </c>
      <c r="G161" s="28" t="s">
        <v>420</v>
      </c>
      <c r="H161" s="6">
        <v>42712</v>
      </c>
      <c r="I161" s="10"/>
      <c r="J161" s="2"/>
      <c r="K161" s="10"/>
      <c r="L161" s="28" t="s">
        <v>463</v>
      </c>
      <c r="M161" s="6">
        <v>42713</v>
      </c>
      <c r="N161" s="27" t="s">
        <v>470</v>
      </c>
    </row>
    <row r="162" spans="1:14" ht="76.5" x14ac:dyDescent="0.2">
      <c r="A162" s="45">
        <v>110040</v>
      </c>
      <c r="B162" s="27" t="s">
        <v>323</v>
      </c>
      <c r="C162" s="10"/>
      <c r="D162" s="27" t="s">
        <v>324</v>
      </c>
      <c r="E162" s="27" t="s">
        <v>411</v>
      </c>
      <c r="F162" s="27" t="s">
        <v>425</v>
      </c>
      <c r="G162" s="28" t="s">
        <v>420</v>
      </c>
      <c r="H162" s="6">
        <v>42712</v>
      </c>
      <c r="I162" s="10"/>
      <c r="J162" s="2"/>
      <c r="K162" s="10"/>
      <c r="L162" s="28"/>
      <c r="M162" s="6"/>
      <c r="N162" s="2"/>
    </row>
    <row r="163" spans="1:14" ht="51" x14ac:dyDescent="0.2">
      <c r="A163" s="45">
        <v>110050</v>
      </c>
      <c r="B163" s="27" t="s">
        <v>224</v>
      </c>
      <c r="C163" s="10"/>
      <c r="D163" s="27" t="s">
        <v>325</v>
      </c>
      <c r="E163" s="27" t="s">
        <v>411</v>
      </c>
      <c r="F163" s="27" t="s">
        <v>419</v>
      </c>
      <c r="G163" s="28" t="s">
        <v>418</v>
      </c>
      <c r="H163" s="6">
        <v>42712</v>
      </c>
      <c r="I163" s="10"/>
      <c r="J163" s="2"/>
      <c r="K163" s="10"/>
      <c r="L163" s="28"/>
      <c r="M163" s="6"/>
      <c r="N163" s="2"/>
    </row>
    <row r="164" spans="1:14" ht="38.25" x14ac:dyDescent="0.2">
      <c r="A164" s="45">
        <v>110060</v>
      </c>
      <c r="B164" s="27" t="s">
        <v>326</v>
      </c>
      <c r="C164" s="10"/>
      <c r="D164" s="27" t="s">
        <v>327</v>
      </c>
      <c r="E164" s="27" t="s">
        <v>411</v>
      </c>
      <c r="F164" s="27"/>
      <c r="G164" s="28"/>
      <c r="H164" s="6"/>
      <c r="I164" s="10"/>
      <c r="J164" s="2"/>
      <c r="K164" s="10"/>
      <c r="L164" s="28"/>
      <c r="M164" s="6"/>
      <c r="N164" s="2"/>
    </row>
    <row r="165" spans="1:14" ht="51" x14ac:dyDescent="0.2">
      <c r="A165" s="45">
        <v>110070</v>
      </c>
      <c r="B165" s="27" t="s">
        <v>328</v>
      </c>
      <c r="C165" s="10"/>
      <c r="D165" s="27" t="s">
        <v>329</v>
      </c>
      <c r="E165" s="27" t="s">
        <v>411</v>
      </c>
      <c r="F165" s="27"/>
      <c r="G165" s="28"/>
      <c r="H165" s="6"/>
      <c r="I165" s="10"/>
      <c r="J165" s="2"/>
      <c r="K165" s="10"/>
      <c r="L165" s="28"/>
      <c r="M165" s="6"/>
      <c r="N165" s="2"/>
    </row>
    <row r="166" spans="1:14" ht="25.5" x14ac:dyDescent="0.2">
      <c r="A166" s="45">
        <v>110080</v>
      </c>
      <c r="B166" s="2" t="s">
        <v>328</v>
      </c>
      <c r="C166" s="10"/>
      <c r="D166" s="27" t="s">
        <v>330</v>
      </c>
      <c r="E166" s="27" t="s">
        <v>411</v>
      </c>
      <c r="F166" s="27"/>
      <c r="G166" s="28"/>
      <c r="H166" s="6"/>
      <c r="I166" s="10"/>
      <c r="J166" s="2"/>
      <c r="K166" s="10"/>
      <c r="L166" s="28"/>
      <c r="M166" s="6"/>
      <c r="N166" s="2"/>
    </row>
    <row r="167" spans="1:14" ht="25.5" x14ac:dyDescent="0.2">
      <c r="A167" s="45">
        <v>110090</v>
      </c>
      <c r="B167" s="2" t="s">
        <v>328</v>
      </c>
      <c r="C167" s="10"/>
      <c r="D167" s="27" t="s">
        <v>331</v>
      </c>
      <c r="E167" s="27" t="s">
        <v>411</v>
      </c>
      <c r="F167" s="27"/>
      <c r="G167" s="28"/>
      <c r="H167" s="6"/>
      <c r="I167" s="10"/>
      <c r="J167" s="2"/>
      <c r="K167" s="10"/>
      <c r="L167" s="28"/>
      <c r="M167" s="6"/>
      <c r="N167" s="2"/>
    </row>
    <row r="168" spans="1:14" ht="51" x14ac:dyDescent="0.2">
      <c r="A168" s="45">
        <v>110100</v>
      </c>
      <c r="B168" s="27" t="s">
        <v>332</v>
      </c>
      <c r="C168" s="10"/>
      <c r="D168" s="27" t="s">
        <v>333</v>
      </c>
      <c r="E168" s="27" t="s">
        <v>411</v>
      </c>
      <c r="F168" s="27" t="s">
        <v>417</v>
      </c>
      <c r="G168" s="28" t="s">
        <v>420</v>
      </c>
      <c r="H168" s="6">
        <v>42712</v>
      </c>
      <c r="I168" s="10"/>
      <c r="J168" s="2"/>
      <c r="K168" s="10"/>
      <c r="L168" s="28"/>
      <c r="M168" s="6"/>
      <c r="N168" s="2"/>
    </row>
    <row r="169" spans="1:14" ht="25.5" x14ac:dyDescent="0.2">
      <c r="A169" s="45">
        <v>110110</v>
      </c>
      <c r="B169" s="27" t="s">
        <v>224</v>
      </c>
      <c r="C169" s="10"/>
      <c r="D169" s="27" t="s">
        <v>325</v>
      </c>
      <c r="E169" s="27" t="s">
        <v>411</v>
      </c>
      <c r="F169" s="27" t="s">
        <v>417</v>
      </c>
      <c r="G169" s="28" t="s">
        <v>420</v>
      </c>
      <c r="H169" s="6">
        <v>42712</v>
      </c>
      <c r="I169" s="10"/>
      <c r="J169" s="2"/>
      <c r="K169" s="10"/>
      <c r="L169" s="28"/>
      <c r="M169" s="6"/>
      <c r="N169" s="2"/>
    </row>
    <row r="170" spans="1:14" ht="38.25" x14ac:dyDescent="0.2">
      <c r="A170" s="45">
        <v>110120</v>
      </c>
      <c r="B170" s="27" t="s">
        <v>334</v>
      </c>
      <c r="C170" s="10"/>
      <c r="D170" s="27" t="s">
        <v>335</v>
      </c>
      <c r="E170" s="27" t="s">
        <v>411</v>
      </c>
      <c r="F170" s="27" t="s">
        <v>461</v>
      </c>
      <c r="G170" s="28" t="s">
        <v>420</v>
      </c>
      <c r="H170" s="6">
        <v>42712</v>
      </c>
      <c r="I170" s="10"/>
      <c r="J170" s="2"/>
      <c r="K170" s="10"/>
      <c r="L170" s="28"/>
      <c r="M170" s="6"/>
      <c r="N170" s="2"/>
    </row>
    <row r="171" spans="1:14" ht="38.25" x14ac:dyDescent="0.2">
      <c r="A171" s="45">
        <v>110130</v>
      </c>
      <c r="B171" s="27" t="s">
        <v>336</v>
      </c>
      <c r="C171" s="10"/>
      <c r="D171" s="27" t="s">
        <v>337</v>
      </c>
      <c r="E171" s="27" t="s">
        <v>411</v>
      </c>
      <c r="F171" s="27" t="s">
        <v>462</v>
      </c>
      <c r="G171" s="28" t="s">
        <v>420</v>
      </c>
      <c r="H171" s="6">
        <v>42712</v>
      </c>
      <c r="I171" s="10"/>
      <c r="J171" s="2"/>
      <c r="K171" s="10"/>
      <c r="L171" s="28"/>
      <c r="M171" s="6"/>
      <c r="N171" s="2"/>
    </row>
    <row r="172" spans="1:14" ht="38.25" x14ac:dyDescent="0.2">
      <c r="A172" s="45">
        <v>110140</v>
      </c>
      <c r="B172" s="27" t="s">
        <v>338</v>
      </c>
      <c r="C172" s="10"/>
      <c r="D172" s="27" t="s">
        <v>339</v>
      </c>
      <c r="E172" s="27" t="s">
        <v>411</v>
      </c>
      <c r="F172" s="27" t="s">
        <v>417</v>
      </c>
      <c r="G172" s="28" t="s">
        <v>420</v>
      </c>
      <c r="H172" s="6">
        <v>42712</v>
      </c>
      <c r="I172" s="10"/>
      <c r="J172" s="2"/>
      <c r="K172" s="10"/>
      <c r="L172" s="28"/>
      <c r="M172" s="6"/>
      <c r="N172" s="2"/>
    </row>
    <row r="173" spans="1:14" ht="25.5" x14ac:dyDescent="0.2">
      <c r="A173" s="45">
        <v>110150</v>
      </c>
      <c r="B173" s="27" t="s">
        <v>340</v>
      </c>
      <c r="C173" s="10"/>
      <c r="D173" s="27" t="s">
        <v>341</v>
      </c>
      <c r="E173" s="27" t="s">
        <v>411</v>
      </c>
      <c r="F173" s="27" t="s">
        <v>417</v>
      </c>
      <c r="G173" s="28" t="s">
        <v>420</v>
      </c>
      <c r="H173" s="6">
        <v>42712</v>
      </c>
      <c r="I173" s="10"/>
      <c r="J173" s="2"/>
      <c r="K173" s="10"/>
      <c r="L173" s="28"/>
      <c r="M173" s="6"/>
      <c r="N173" s="2"/>
    </row>
    <row r="174" spans="1:14" x14ac:dyDescent="0.2">
      <c r="A174" s="45"/>
      <c r="B174" s="27"/>
      <c r="C174" s="10"/>
      <c r="D174" s="27"/>
      <c r="E174" s="2"/>
      <c r="F174" s="27"/>
      <c r="G174" s="28"/>
      <c r="H174" s="6"/>
      <c r="I174" s="10"/>
      <c r="J174" s="2"/>
      <c r="K174" s="10"/>
      <c r="L174" s="28"/>
      <c r="M174" s="6"/>
      <c r="N174" s="2"/>
    </row>
    <row r="175" spans="1:14" x14ac:dyDescent="0.2">
      <c r="A175" s="45">
        <v>120000</v>
      </c>
      <c r="B175" s="27" t="s">
        <v>342</v>
      </c>
      <c r="C175" s="10"/>
      <c r="D175" s="2"/>
      <c r="E175" s="2"/>
      <c r="F175" s="27"/>
      <c r="G175" s="28"/>
      <c r="H175" s="6"/>
      <c r="I175" s="10"/>
      <c r="J175" s="2"/>
      <c r="K175" s="10"/>
      <c r="L175" s="28"/>
      <c r="M175" s="6"/>
      <c r="N175" s="2"/>
    </row>
    <row r="176" spans="1:14" ht="63.75" x14ac:dyDescent="0.2">
      <c r="A176" s="45">
        <v>120010</v>
      </c>
      <c r="B176" s="27" t="s">
        <v>200</v>
      </c>
      <c r="C176" s="10"/>
      <c r="D176" s="27" t="s">
        <v>343</v>
      </c>
      <c r="E176" s="27" t="s">
        <v>411</v>
      </c>
      <c r="F176" s="27" t="s">
        <v>429</v>
      </c>
      <c r="G176" s="28" t="s">
        <v>420</v>
      </c>
      <c r="H176" s="6">
        <v>42712</v>
      </c>
      <c r="I176" s="10"/>
      <c r="J176" s="2"/>
      <c r="K176" s="10"/>
      <c r="L176" s="28"/>
      <c r="M176" s="6"/>
      <c r="N176" s="2"/>
    </row>
    <row r="177" spans="1:14" ht="25.5" x14ac:dyDescent="0.2">
      <c r="A177" s="45">
        <v>120020</v>
      </c>
      <c r="B177" s="27" t="s">
        <v>344</v>
      </c>
      <c r="C177" s="10"/>
      <c r="D177" s="27" t="s">
        <v>345</v>
      </c>
      <c r="E177" s="27" t="s">
        <v>411</v>
      </c>
      <c r="F177" s="27" t="s">
        <v>417</v>
      </c>
      <c r="G177" s="28" t="s">
        <v>420</v>
      </c>
      <c r="H177" s="6">
        <v>42712</v>
      </c>
      <c r="I177" s="10"/>
      <c r="J177" s="2"/>
      <c r="K177" s="10"/>
      <c r="L177" s="28"/>
      <c r="M177" s="6"/>
      <c r="N177" s="2"/>
    </row>
    <row r="178" spans="1:14" ht="38.25" x14ac:dyDescent="0.2">
      <c r="A178" s="45">
        <v>120030</v>
      </c>
      <c r="B178" s="27" t="s">
        <v>346</v>
      </c>
      <c r="C178" s="10"/>
      <c r="D178" s="27" t="s">
        <v>347</v>
      </c>
      <c r="E178" s="27" t="s">
        <v>411</v>
      </c>
      <c r="F178" s="27" t="s">
        <v>417</v>
      </c>
      <c r="G178" s="28" t="s">
        <v>420</v>
      </c>
      <c r="H178" s="6">
        <v>42712</v>
      </c>
      <c r="I178" s="10"/>
      <c r="J178" s="2"/>
      <c r="K178" s="10"/>
      <c r="L178" s="28"/>
      <c r="M178" s="6"/>
      <c r="N178" s="2"/>
    </row>
    <row r="179" spans="1:14" ht="38.25" x14ac:dyDescent="0.2">
      <c r="A179" s="45">
        <v>120040</v>
      </c>
      <c r="B179" s="27" t="s">
        <v>348</v>
      </c>
      <c r="C179" s="10"/>
      <c r="D179" s="27" t="s">
        <v>349</v>
      </c>
      <c r="E179" s="27" t="s">
        <v>411</v>
      </c>
      <c r="F179" s="27" t="s">
        <v>456</v>
      </c>
      <c r="G179" s="28" t="s">
        <v>420</v>
      </c>
      <c r="H179" s="6">
        <v>42712</v>
      </c>
      <c r="I179" s="10"/>
      <c r="J179" s="2"/>
      <c r="K179" s="10"/>
      <c r="L179" s="28" t="s">
        <v>463</v>
      </c>
      <c r="M179" s="6">
        <v>42713</v>
      </c>
      <c r="N179" s="27" t="s">
        <v>471</v>
      </c>
    </row>
    <row r="180" spans="1:14" ht="63.75" x14ac:dyDescent="0.2">
      <c r="A180" s="45">
        <v>120050</v>
      </c>
      <c r="B180" s="27" t="s">
        <v>350</v>
      </c>
      <c r="C180" s="28" t="s">
        <v>351</v>
      </c>
      <c r="D180" s="27" t="s">
        <v>352</v>
      </c>
      <c r="E180" s="27" t="s">
        <v>411</v>
      </c>
      <c r="F180" s="27" t="s">
        <v>456</v>
      </c>
      <c r="G180" s="28" t="s">
        <v>420</v>
      </c>
      <c r="H180" s="6">
        <v>42712</v>
      </c>
      <c r="I180" s="10"/>
      <c r="J180" s="2"/>
      <c r="K180" s="10"/>
      <c r="L180" s="28" t="s">
        <v>463</v>
      </c>
      <c r="M180" s="6">
        <v>42713</v>
      </c>
      <c r="N180" s="2" t="s">
        <v>471</v>
      </c>
    </row>
    <row r="181" spans="1:14" ht="38.25" x14ac:dyDescent="0.2">
      <c r="A181" s="45">
        <v>120060</v>
      </c>
      <c r="B181" s="27" t="s">
        <v>353</v>
      </c>
      <c r="C181" s="10"/>
      <c r="D181" s="27" t="s">
        <v>354</v>
      </c>
      <c r="E181" s="27" t="s">
        <v>411</v>
      </c>
      <c r="F181" s="27" t="s">
        <v>456</v>
      </c>
      <c r="G181" s="28" t="s">
        <v>420</v>
      </c>
      <c r="H181" s="6">
        <v>42712</v>
      </c>
      <c r="I181" s="10"/>
      <c r="J181" s="2"/>
      <c r="K181" s="10"/>
      <c r="L181" s="28" t="s">
        <v>463</v>
      </c>
      <c r="M181" s="6">
        <v>42713</v>
      </c>
      <c r="N181" s="2" t="s">
        <v>471</v>
      </c>
    </row>
    <row r="182" spans="1:14" ht="38.25" x14ac:dyDescent="0.2">
      <c r="A182" s="45">
        <v>120070</v>
      </c>
      <c r="B182" s="27" t="s">
        <v>355</v>
      </c>
      <c r="C182" s="10"/>
      <c r="D182" s="27" t="s">
        <v>356</v>
      </c>
      <c r="E182" s="27" t="s">
        <v>411</v>
      </c>
      <c r="F182" s="27" t="s">
        <v>456</v>
      </c>
      <c r="G182" s="28" t="s">
        <v>420</v>
      </c>
      <c r="H182" s="6">
        <v>42712</v>
      </c>
      <c r="I182" s="10"/>
      <c r="J182" s="2"/>
      <c r="K182" s="10"/>
      <c r="L182" s="28" t="s">
        <v>463</v>
      </c>
      <c r="M182" s="6">
        <v>42713</v>
      </c>
      <c r="N182" s="2" t="s">
        <v>471</v>
      </c>
    </row>
    <row r="183" spans="1:14" ht="38.25" x14ac:dyDescent="0.2">
      <c r="A183" s="45"/>
      <c r="B183" s="27" t="s">
        <v>357</v>
      </c>
      <c r="C183" s="10"/>
      <c r="D183" s="27" t="s">
        <v>358</v>
      </c>
      <c r="E183" s="27" t="s">
        <v>411</v>
      </c>
      <c r="F183" s="27" t="s">
        <v>456</v>
      </c>
      <c r="G183" s="28" t="s">
        <v>420</v>
      </c>
      <c r="H183" s="6">
        <v>42712</v>
      </c>
      <c r="I183" s="10"/>
      <c r="J183" s="2"/>
      <c r="K183" s="10"/>
      <c r="L183" s="28" t="s">
        <v>463</v>
      </c>
      <c r="M183" s="6">
        <v>42713</v>
      </c>
      <c r="N183" s="2" t="s">
        <v>471</v>
      </c>
    </row>
    <row r="184" spans="1:14" ht="38.25" x14ac:dyDescent="0.2">
      <c r="A184" s="45">
        <v>120080</v>
      </c>
      <c r="B184" s="27" t="s">
        <v>359</v>
      </c>
      <c r="C184" s="10"/>
      <c r="D184" s="27" t="s">
        <v>360</v>
      </c>
      <c r="E184" s="27" t="s">
        <v>411</v>
      </c>
      <c r="F184" s="27" t="s">
        <v>421</v>
      </c>
      <c r="G184" s="28" t="s">
        <v>420</v>
      </c>
      <c r="H184" s="6">
        <v>42712</v>
      </c>
      <c r="I184" s="10"/>
      <c r="J184" s="2"/>
      <c r="K184" s="10"/>
      <c r="L184" s="28" t="s">
        <v>463</v>
      </c>
      <c r="M184" s="6">
        <v>42713</v>
      </c>
      <c r="N184" s="27" t="s">
        <v>471</v>
      </c>
    </row>
    <row r="185" spans="1:14" ht="25.5" x14ac:dyDescent="0.2">
      <c r="A185" s="45">
        <v>120090</v>
      </c>
      <c r="B185" s="27" t="s">
        <v>361</v>
      </c>
      <c r="C185" s="10"/>
      <c r="D185" s="27" t="s">
        <v>362</v>
      </c>
      <c r="E185" s="27" t="s">
        <v>411</v>
      </c>
      <c r="F185" s="27" t="s">
        <v>417</v>
      </c>
      <c r="G185" s="28" t="s">
        <v>420</v>
      </c>
      <c r="H185" s="6">
        <v>42712</v>
      </c>
      <c r="I185" s="10"/>
      <c r="J185" s="2"/>
      <c r="K185" s="10"/>
      <c r="L185" s="28"/>
      <c r="M185" s="6"/>
      <c r="N185" s="2"/>
    </row>
    <row r="186" spans="1:14" ht="51" x14ac:dyDescent="0.2">
      <c r="A186" s="45">
        <v>120100</v>
      </c>
      <c r="B186" s="27" t="s">
        <v>363</v>
      </c>
      <c r="C186" s="10"/>
      <c r="D186" s="27" t="s">
        <v>364</v>
      </c>
      <c r="E186" s="27" t="s">
        <v>411</v>
      </c>
      <c r="F186" s="27" t="s">
        <v>422</v>
      </c>
      <c r="G186" s="28" t="s">
        <v>420</v>
      </c>
      <c r="H186" s="6">
        <v>42712</v>
      </c>
      <c r="I186" s="10"/>
      <c r="J186" s="2"/>
      <c r="K186" s="10"/>
      <c r="L186" s="28" t="s">
        <v>463</v>
      </c>
      <c r="M186" s="6">
        <v>42713</v>
      </c>
      <c r="N186" s="2" t="s">
        <v>471</v>
      </c>
    </row>
    <row r="187" spans="1:14" ht="51" x14ac:dyDescent="0.2">
      <c r="A187" s="45">
        <v>120110</v>
      </c>
      <c r="B187" s="27" t="s">
        <v>365</v>
      </c>
      <c r="C187" s="10"/>
      <c r="D187" s="27" t="s">
        <v>366</v>
      </c>
      <c r="E187" s="27" t="s">
        <v>411</v>
      </c>
      <c r="F187" s="27" t="s">
        <v>422</v>
      </c>
      <c r="G187" s="28" t="s">
        <v>420</v>
      </c>
      <c r="H187" s="6">
        <v>42712</v>
      </c>
      <c r="I187" s="10"/>
      <c r="J187" s="2"/>
      <c r="K187" s="10"/>
      <c r="L187" s="28" t="s">
        <v>463</v>
      </c>
      <c r="M187" s="6">
        <v>42713</v>
      </c>
      <c r="N187" s="2" t="s">
        <v>471</v>
      </c>
    </row>
    <row r="188" spans="1:14" ht="114.75" x14ac:dyDescent="0.2">
      <c r="A188" s="45">
        <v>120120</v>
      </c>
      <c r="B188" s="27" t="s">
        <v>367</v>
      </c>
      <c r="C188" s="10"/>
      <c r="D188" s="27" t="s">
        <v>368</v>
      </c>
      <c r="E188" s="27" t="s">
        <v>411</v>
      </c>
      <c r="F188" s="27" t="s">
        <v>449</v>
      </c>
      <c r="G188" s="28" t="s">
        <v>420</v>
      </c>
      <c r="H188" s="6">
        <v>42712</v>
      </c>
      <c r="I188" s="10"/>
      <c r="J188" s="2"/>
      <c r="K188" s="10"/>
      <c r="L188" s="28" t="s">
        <v>463</v>
      </c>
      <c r="M188" s="6">
        <v>42713</v>
      </c>
      <c r="N188" s="2" t="s">
        <v>471</v>
      </c>
    </row>
    <row r="189" spans="1:14" ht="38.25" x14ac:dyDescent="0.2">
      <c r="A189" s="45">
        <v>120130</v>
      </c>
      <c r="B189" s="27" t="s">
        <v>369</v>
      </c>
      <c r="C189" s="10"/>
      <c r="D189" s="27" t="s">
        <v>370</v>
      </c>
      <c r="E189" s="27" t="s">
        <v>411</v>
      </c>
      <c r="F189" s="27" t="s">
        <v>450</v>
      </c>
      <c r="G189" s="28" t="s">
        <v>420</v>
      </c>
      <c r="H189" s="6">
        <v>42712</v>
      </c>
      <c r="I189" s="10"/>
      <c r="J189" s="2"/>
      <c r="K189" s="10"/>
      <c r="L189" s="28" t="s">
        <v>463</v>
      </c>
      <c r="M189" s="6">
        <v>42713</v>
      </c>
      <c r="N189" s="2" t="s">
        <v>471</v>
      </c>
    </row>
    <row r="190" spans="1:14" ht="51" x14ac:dyDescent="0.2">
      <c r="A190" s="45">
        <v>120140</v>
      </c>
      <c r="B190" s="27" t="s">
        <v>371</v>
      </c>
      <c r="C190" s="10"/>
      <c r="D190" s="27" t="s">
        <v>372</v>
      </c>
      <c r="E190" s="2"/>
      <c r="F190" s="27"/>
      <c r="G190" s="28"/>
      <c r="H190" s="6"/>
      <c r="I190" s="10"/>
      <c r="J190" s="2"/>
      <c r="K190" s="10"/>
      <c r="L190" s="28"/>
      <c r="M190" s="6"/>
      <c r="N190" s="2"/>
    </row>
    <row r="191" spans="1:14" ht="51" x14ac:dyDescent="0.2">
      <c r="A191" s="45">
        <v>120150</v>
      </c>
      <c r="B191" s="27" t="s">
        <v>373</v>
      </c>
      <c r="C191" s="10"/>
      <c r="D191" s="27" t="s">
        <v>374</v>
      </c>
      <c r="E191" s="27" t="s">
        <v>411</v>
      </c>
      <c r="F191" s="27" t="s">
        <v>417</v>
      </c>
      <c r="G191" s="28" t="s">
        <v>420</v>
      </c>
      <c r="H191" s="6">
        <v>42712</v>
      </c>
      <c r="I191" s="10"/>
      <c r="J191" s="2"/>
      <c r="K191" s="10"/>
      <c r="L191" s="28"/>
      <c r="M191" s="6"/>
      <c r="N191" s="2"/>
    </row>
    <row r="192" spans="1:14" ht="38.25" x14ac:dyDescent="0.2">
      <c r="A192" s="45">
        <v>120160</v>
      </c>
      <c r="B192" s="27" t="s">
        <v>375</v>
      </c>
      <c r="C192" s="10"/>
      <c r="D192" s="27" t="s">
        <v>376</v>
      </c>
      <c r="E192" s="27" t="s">
        <v>411</v>
      </c>
      <c r="F192" s="27" t="s">
        <v>417</v>
      </c>
      <c r="G192" s="28" t="s">
        <v>420</v>
      </c>
      <c r="H192" s="6">
        <v>42712</v>
      </c>
      <c r="I192" s="10"/>
      <c r="J192" s="2"/>
      <c r="K192" s="10"/>
      <c r="L192" s="28"/>
      <c r="M192" s="6"/>
      <c r="N192" s="2"/>
    </row>
    <row r="193" spans="1:14" x14ac:dyDescent="0.2">
      <c r="A193" s="45">
        <v>130000</v>
      </c>
      <c r="B193" s="27" t="s">
        <v>377</v>
      </c>
      <c r="C193" s="10"/>
      <c r="D193" s="2"/>
      <c r="E193" s="2"/>
      <c r="F193" s="27"/>
      <c r="G193" s="28"/>
      <c r="H193" s="6"/>
      <c r="I193" s="10"/>
      <c r="J193" s="2"/>
      <c r="K193" s="10"/>
      <c r="L193" s="28"/>
      <c r="M193" s="6"/>
      <c r="N193" s="2"/>
    </row>
    <row r="194" spans="1:14" ht="25.5" x14ac:dyDescent="0.2">
      <c r="A194" s="45">
        <v>130010</v>
      </c>
      <c r="B194" s="27" t="s">
        <v>378</v>
      </c>
      <c r="C194" s="10"/>
      <c r="D194" s="27" t="s">
        <v>379</v>
      </c>
      <c r="E194" s="27" t="s">
        <v>411</v>
      </c>
      <c r="F194" s="27" t="s">
        <v>417</v>
      </c>
      <c r="G194" s="28" t="s">
        <v>418</v>
      </c>
      <c r="H194" s="6">
        <v>42712</v>
      </c>
      <c r="I194" s="10"/>
      <c r="J194" s="2"/>
      <c r="K194" s="10"/>
      <c r="L194" s="28"/>
      <c r="M194" s="6"/>
      <c r="N194" s="2"/>
    </row>
    <row r="195" spans="1:14" ht="38.25" x14ac:dyDescent="0.2">
      <c r="A195" s="45">
        <v>130020</v>
      </c>
      <c r="B195" s="27" t="s">
        <v>380</v>
      </c>
      <c r="C195" s="10"/>
      <c r="D195" s="27" t="s">
        <v>381</v>
      </c>
      <c r="E195" s="27" t="s">
        <v>411</v>
      </c>
      <c r="F195" s="27" t="s">
        <v>417</v>
      </c>
      <c r="G195" s="28" t="s">
        <v>418</v>
      </c>
      <c r="H195" s="6">
        <v>42712</v>
      </c>
      <c r="I195" s="10"/>
      <c r="J195" s="2"/>
      <c r="K195" s="10"/>
      <c r="L195" s="28"/>
      <c r="M195" s="6"/>
      <c r="N195" s="2"/>
    </row>
    <row r="196" spans="1:14" x14ac:dyDescent="0.2">
      <c r="A196" s="45">
        <v>130030</v>
      </c>
      <c r="B196" s="2"/>
      <c r="C196" s="10"/>
      <c r="D196" s="2"/>
      <c r="E196" s="2"/>
      <c r="F196" s="27"/>
      <c r="G196" s="28"/>
      <c r="H196" s="6"/>
      <c r="I196" s="10"/>
      <c r="J196" s="2"/>
      <c r="K196" s="10"/>
      <c r="L196" s="28"/>
      <c r="M196" s="6"/>
      <c r="N196" s="2"/>
    </row>
    <row r="197" spans="1:14" x14ac:dyDescent="0.2">
      <c r="A197" s="45">
        <v>130040</v>
      </c>
      <c r="B197" s="2"/>
      <c r="C197" s="10"/>
      <c r="D197" s="2"/>
      <c r="E197" s="2"/>
      <c r="F197" s="27"/>
      <c r="G197" s="28"/>
      <c r="H197" s="6"/>
      <c r="I197" s="10"/>
      <c r="J197" s="2"/>
      <c r="K197" s="10"/>
      <c r="L197" s="28"/>
      <c r="M197" s="6"/>
      <c r="N197" s="2"/>
    </row>
    <row r="198" spans="1:14" x14ac:dyDescent="0.2">
      <c r="A198" s="45">
        <v>130050</v>
      </c>
      <c r="B198" s="2"/>
      <c r="C198" s="10"/>
      <c r="D198" s="2"/>
      <c r="E198" s="2"/>
      <c r="F198" s="27"/>
      <c r="G198" s="28"/>
      <c r="H198" s="6"/>
      <c r="I198" s="10"/>
      <c r="J198" s="2"/>
      <c r="K198" s="10"/>
      <c r="L198" s="28"/>
      <c r="M198" s="6"/>
      <c r="N198" s="2"/>
    </row>
    <row r="199" spans="1:14" x14ac:dyDescent="0.2">
      <c r="A199" s="45">
        <v>140000</v>
      </c>
      <c r="B199" s="27" t="s">
        <v>382</v>
      </c>
      <c r="C199" s="10"/>
      <c r="D199" s="2"/>
      <c r="E199" s="2"/>
      <c r="F199" s="27"/>
      <c r="G199" s="28"/>
      <c r="H199" s="6"/>
      <c r="I199" s="10"/>
      <c r="J199" s="2"/>
      <c r="K199" s="10"/>
      <c r="L199" s="28"/>
      <c r="M199" s="6"/>
      <c r="N199" s="2"/>
    </row>
    <row r="200" spans="1:14" ht="63.75" x14ac:dyDescent="0.2">
      <c r="A200" s="45">
        <v>140010</v>
      </c>
      <c r="B200" s="27" t="s">
        <v>383</v>
      </c>
      <c r="C200" s="10"/>
      <c r="D200" s="27" t="s">
        <v>384</v>
      </c>
      <c r="E200" s="27" t="s">
        <v>411</v>
      </c>
      <c r="F200" s="27" t="s">
        <v>417</v>
      </c>
      <c r="G200" s="28" t="s">
        <v>420</v>
      </c>
      <c r="H200" s="6">
        <v>42712</v>
      </c>
      <c r="I200" s="10"/>
      <c r="J200" s="2"/>
      <c r="K200" s="10"/>
      <c r="L200" s="28"/>
      <c r="M200" s="6"/>
      <c r="N200" s="2"/>
    </row>
    <row r="201" spans="1:14" ht="51" x14ac:dyDescent="0.2">
      <c r="A201" s="45">
        <v>140020</v>
      </c>
      <c r="B201" s="27" t="s">
        <v>385</v>
      </c>
      <c r="C201" s="10"/>
      <c r="D201" s="27" t="s">
        <v>386</v>
      </c>
      <c r="E201" s="27" t="s">
        <v>411</v>
      </c>
      <c r="F201" s="27" t="s">
        <v>430</v>
      </c>
      <c r="G201" s="28" t="s">
        <v>420</v>
      </c>
      <c r="H201" s="6">
        <v>42712</v>
      </c>
      <c r="I201" s="10"/>
      <c r="J201" s="2"/>
      <c r="K201" s="10"/>
      <c r="L201" s="28"/>
      <c r="M201" s="6"/>
      <c r="N201" s="2"/>
    </row>
    <row r="202" spans="1:14" ht="51" x14ac:dyDescent="0.2">
      <c r="A202" s="45">
        <v>140030</v>
      </c>
      <c r="B202" s="27" t="s">
        <v>387</v>
      </c>
      <c r="C202" s="10"/>
      <c r="D202" s="27" t="s">
        <v>388</v>
      </c>
      <c r="E202" s="2"/>
      <c r="F202" s="27" t="s">
        <v>442</v>
      </c>
      <c r="G202" s="28" t="s">
        <v>434</v>
      </c>
      <c r="H202" s="6">
        <v>42712</v>
      </c>
      <c r="I202" s="10"/>
      <c r="J202" s="2"/>
      <c r="K202" s="10"/>
      <c r="L202" s="28"/>
      <c r="M202" s="6"/>
      <c r="N202" s="2"/>
    </row>
    <row r="203" spans="1:14" ht="51" x14ac:dyDescent="0.2">
      <c r="A203" s="45">
        <v>140040</v>
      </c>
      <c r="B203" s="27" t="s">
        <v>389</v>
      </c>
      <c r="C203" s="10"/>
      <c r="D203" s="27" t="s">
        <v>390</v>
      </c>
      <c r="E203" s="2"/>
      <c r="F203" s="27" t="s">
        <v>442</v>
      </c>
      <c r="G203" s="28" t="s">
        <v>434</v>
      </c>
      <c r="H203" s="6">
        <v>42712</v>
      </c>
      <c r="I203" s="10"/>
      <c r="J203" s="2"/>
      <c r="K203" s="10"/>
      <c r="L203" s="28"/>
      <c r="M203" s="6"/>
      <c r="N203" s="2"/>
    </row>
    <row r="204" spans="1:14" x14ac:dyDescent="0.2">
      <c r="A204" s="45">
        <v>140050</v>
      </c>
      <c r="B204" s="2"/>
      <c r="C204" s="10"/>
      <c r="D204" s="2"/>
      <c r="E204" s="2"/>
      <c r="F204" s="27"/>
      <c r="G204" s="28"/>
      <c r="H204" s="6"/>
      <c r="I204" s="10"/>
      <c r="J204" s="2"/>
      <c r="K204" s="10"/>
      <c r="L204" s="28"/>
      <c r="M204" s="6"/>
      <c r="N204" s="2"/>
    </row>
    <row r="205" spans="1:14" x14ac:dyDescent="0.2">
      <c r="A205" s="45">
        <v>150000</v>
      </c>
      <c r="B205" s="27" t="s">
        <v>391</v>
      </c>
      <c r="C205" s="10"/>
      <c r="D205" s="2"/>
      <c r="E205" s="2"/>
      <c r="F205" s="27"/>
      <c r="G205" s="28"/>
      <c r="H205" s="6"/>
      <c r="I205" s="10"/>
      <c r="J205" s="2"/>
      <c r="K205" s="10"/>
      <c r="L205" s="28"/>
      <c r="M205" s="6"/>
      <c r="N205" s="2"/>
    </row>
    <row r="206" spans="1:14" ht="76.5" x14ac:dyDescent="0.2">
      <c r="A206" s="45">
        <v>150010</v>
      </c>
      <c r="B206" s="27" t="s">
        <v>392</v>
      </c>
      <c r="C206" s="10"/>
      <c r="D206" s="27" t="s">
        <v>393</v>
      </c>
      <c r="E206" s="2"/>
      <c r="F206" s="27" t="s">
        <v>441</v>
      </c>
      <c r="G206" s="28" t="s">
        <v>434</v>
      </c>
      <c r="H206" s="6">
        <v>42712</v>
      </c>
      <c r="I206" s="10"/>
      <c r="J206" s="2"/>
      <c r="K206" s="10"/>
      <c r="L206" s="28" t="s">
        <v>463</v>
      </c>
      <c r="M206" s="6">
        <v>42713</v>
      </c>
      <c r="N206" s="27" t="s">
        <v>472</v>
      </c>
    </row>
    <row r="207" spans="1:14" ht="63.75" x14ac:dyDescent="0.2">
      <c r="A207" s="45" t="s">
        <v>394</v>
      </c>
      <c r="B207" s="27" t="s">
        <v>395</v>
      </c>
      <c r="C207" s="10"/>
      <c r="D207" s="27" t="s">
        <v>396</v>
      </c>
      <c r="E207" s="2"/>
      <c r="F207" s="27" t="s">
        <v>441</v>
      </c>
      <c r="G207" s="28" t="s">
        <v>434</v>
      </c>
      <c r="H207" s="6">
        <v>42712</v>
      </c>
      <c r="I207" s="10"/>
      <c r="J207" s="2"/>
      <c r="K207" s="10"/>
      <c r="L207" s="28" t="s">
        <v>463</v>
      </c>
      <c r="M207" s="6">
        <v>42713</v>
      </c>
      <c r="N207" s="2" t="s">
        <v>472</v>
      </c>
    </row>
    <row r="208" spans="1:14" x14ac:dyDescent="0.2">
      <c r="A208" s="45">
        <v>160000</v>
      </c>
      <c r="B208" s="27" t="s">
        <v>397</v>
      </c>
      <c r="C208" s="10"/>
      <c r="D208" s="2"/>
      <c r="E208" s="2"/>
      <c r="F208" s="27"/>
      <c r="G208" s="28"/>
      <c r="H208" s="6"/>
      <c r="I208" s="10"/>
      <c r="J208" s="2"/>
      <c r="K208" s="10"/>
      <c r="L208" s="28"/>
      <c r="M208" s="6"/>
      <c r="N208" s="2"/>
    </row>
    <row r="209" spans="1:14" ht="51" x14ac:dyDescent="0.2">
      <c r="A209" s="45">
        <v>160010</v>
      </c>
      <c r="B209" s="27" t="s">
        <v>398</v>
      </c>
      <c r="C209" s="10"/>
      <c r="D209" s="27" t="s">
        <v>399</v>
      </c>
      <c r="E209" s="2"/>
      <c r="F209" s="27" t="s">
        <v>441</v>
      </c>
      <c r="G209" s="28" t="s">
        <v>434</v>
      </c>
      <c r="H209" s="6">
        <v>42712</v>
      </c>
      <c r="I209" s="10"/>
      <c r="J209" s="2"/>
      <c r="K209" s="10"/>
      <c r="L209" s="28" t="s">
        <v>463</v>
      </c>
      <c r="M209" s="6">
        <v>42713</v>
      </c>
      <c r="N209" s="2" t="s">
        <v>472</v>
      </c>
    </row>
    <row r="210" spans="1:14" ht="38.25" x14ac:dyDescent="0.2">
      <c r="A210" s="45">
        <v>160020</v>
      </c>
      <c r="B210" s="27" t="s">
        <v>400</v>
      </c>
      <c r="C210" s="10"/>
      <c r="D210" s="27" t="s">
        <v>401</v>
      </c>
      <c r="E210" s="2"/>
      <c r="F210" s="27" t="s">
        <v>441</v>
      </c>
      <c r="G210" s="28" t="s">
        <v>434</v>
      </c>
      <c r="H210" s="6">
        <v>42712</v>
      </c>
      <c r="I210" s="10"/>
      <c r="J210" s="2"/>
      <c r="K210" s="10"/>
      <c r="L210" s="28" t="s">
        <v>463</v>
      </c>
      <c r="M210" s="6">
        <v>42713</v>
      </c>
      <c r="N210" s="2" t="s">
        <v>472</v>
      </c>
    </row>
    <row r="211" spans="1:14" x14ac:dyDescent="0.2">
      <c r="A211" s="45">
        <v>160030</v>
      </c>
      <c r="B211" s="2"/>
      <c r="C211" s="10"/>
      <c r="D211" s="2"/>
      <c r="E211" s="2"/>
      <c r="F211" s="27"/>
      <c r="G211" s="28"/>
      <c r="H211" s="6"/>
      <c r="I211" s="10"/>
      <c r="J211" s="2"/>
      <c r="K211" s="10"/>
      <c r="L211" s="28"/>
      <c r="M211" s="6"/>
      <c r="N211" s="2"/>
    </row>
    <row r="212" spans="1:14" x14ac:dyDescent="0.2">
      <c r="A212" s="45">
        <v>160040</v>
      </c>
      <c r="B212" s="2"/>
      <c r="C212" s="10"/>
      <c r="D212" s="2"/>
      <c r="E212" s="2"/>
      <c r="F212" s="27"/>
      <c r="G212" s="28"/>
      <c r="H212" s="6"/>
      <c r="I212" s="10"/>
      <c r="J212" s="2"/>
      <c r="K212" s="10"/>
      <c r="L212" s="28"/>
      <c r="M212" s="6"/>
      <c r="N212" s="2"/>
    </row>
    <row r="213" spans="1:14" x14ac:dyDescent="0.2">
      <c r="A213" s="45">
        <v>160050</v>
      </c>
      <c r="B213" s="2"/>
      <c r="C213" s="10"/>
      <c r="D213" s="2"/>
      <c r="E213" s="2"/>
      <c r="F213" s="27"/>
      <c r="G213" s="28"/>
      <c r="H213" s="6"/>
      <c r="I213" s="10"/>
      <c r="J213" s="2"/>
      <c r="K213" s="10"/>
      <c r="L213" s="28"/>
      <c r="M213" s="6"/>
      <c r="N213" s="2"/>
    </row>
    <row r="214" spans="1:14" x14ac:dyDescent="0.2">
      <c r="A214" s="45">
        <v>170000</v>
      </c>
      <c r="B214" s="27" t="s">
        <v>402</v>
      </c>
      <c r="C214" s="10"/>
      <c r="D214" s="2"/>
      <c r="E214" s="2"/>
      <c r="F214" s="27"/>
      <c r="G214" s="28"/>
      <c r="H214" s="6"/>
      <c r="I214" s="10"/>
      <c r="J214" s="2"/>
      <c r="K214" s="10"/>
      <c r="L214" s="28"/>
      <c r="M214" s="6"/>
      <c r="N214" s="2"/>
    </row>
    <row r="215" spans="1:14" ht="25.5" x14ac:dyDescent="0.2">
      <c r="A215" s="45">
        <v>170010</v>
      </c>
      <c r="B215" s="27" t="s">
        <v>403</v>
      </c>
      <c r="C215" s="10"/>
      <c r="D215" s="27" t="s">
        <v>404</v>
      </c>
      <c r="E215" s="27" t="s">
        <v>411</v>
      </c>
      <c r="F215" s="27" t="s">
        <v>417</v>
      </c>
      <c r="G215" s="28" t="s">
        <v>420</v>
      </c>
      <c r="H215" s="6">
        <v>42712</v>
      </c>
      <c r="I215" s="10"/>
      <c r="J215" s="2"/>
      <c r="K215" s="10"/>
      <c r="L215" s="28"/>
      <c r="M215" s="6"/>
      <c r="N215" s="2"/>
    </row>
    <row r="216" spans="1:14" ht="25.5" x14ac:dyDescent="0.2">
      <c r="A216" s="45">
        <v>170020</v>
      </c>
      <c r="B216" s="27" t="s">
        <v>405</v>
      </c>
      <c r="C216" s="10"/>
      <c r="D216" s="27" t="s">
        <v>404</v>
      </c>
      <c r="E216" s="27" t="s">
        <v>411</v>
      </c>
      <c r="F216" s="27" t="s">
        <v>417</v>
      </c>
      <c r="G216" s="28" t="s">
        <v>420</v>
      </c>
      <c r="H216" s="6">
        <v>42712</v>
      </c>
      <c r="I216" s="10"/>
      <c r="J216" s="2"/>
      <c r="K216" s="10"/>
      <c r="L216" s="28"/>
      <c r="M216" s="6"/>
      <c r="N216" s="2"/>
    </row>
    <row r="217" spans="1:14" x14ac:dyDescent="0.2">
      <c r="A217" s="45">
        <v>180000</v>
      </c>
      <c r="B217" s="27" t="s">
        <v>406</v>
      </c>
      <c r="C217" s="10"/>
      <c r="D217" s="2"/>
      <c r="E217" s="2"/>
      <c r="F217" s="27"/>
      <c r="G217" s="28"/>
      <c r="H217" s="6"/>
      <c r="I217" s="10"/>
      <c r="J217" s="2"/>
      <c r="K217" s="10"/>
      <c r="L217" s="28"/>
      <c r="M217" s="6"/>
      <c r="N217" s="2"/>
    </row>
    <row r="218" spans="1:14" ht="25.5" x14ac:dyDescent="0.2">
      <c r="A218" s="45">
        <v>180010</v>
      </c>
      <c r="B218" s="27" t="s">
        <v>407</v>
      </c>
      <c r="C218" s="10"/>
      <c r="D218" s="27" t="s">
        <v>408</v>
      </c>
      <c r="E218" s="27" t="s">
        <v>411</v>
      </c>
      <c r="F218" s="27" t="s">
        <v>417</v>
      </c>
      <c r="G218" s="28" t="s">
        <v>420</v>
      </c>
      <c r="H218" s="6">
        <v>42712</v>
      </c>
      <c r="I218" s="10"/>
      <c r="J218" s="2"/>
      <c r="K218" s="10"/>
      <c r="L218" s="28"/>
      <c r="M218" s="6"/>
      <c r="N218" s="2"/>
    </row>
    <row r="219" spans="1:14" ht="25.5" x14ac:dyDescent="0.2">
      <c r="A219" s="45">
        <v>180020</v>
      </c>
      <c r="B219" s="27" t="s">
        <v>409</v>
      </c>
      <c r="C219" s="10"/>
      <c r="D219" s="27" t="s">
        <v>408</v>
      </c>
      <c r="E219" s="27" t="s">
        <v>411</v>
      </c>
      <c r="F219" s="27" t="s">
        <v>417</v>
      </c>
      <c r="G219" s="28" t="s">
        <v>420</v>
      </c>
      <c r="H219" s="6">
        <v>42712</v>
      </c>
      <c r="I219" s="10"/>
      <c r="J219" s="2"/>
      <c r="K219" s="10"/>
      <c r="L219" s="28"/>
      <c r="M219" s="6"/>
      <c r="N219" s="2"/>
    </row>
    <row r="220" spans="1:14" x14ac:dyDescent="0.2">
      <c r="A220" s="45">
        <v>180030</v>
      </c>
      <c r="B220" s="2"/>
      <c r="C220" s="10"/>
      <c r="D220" s="2"/>
      <c r="E220" s="2"/>
      <c r="F220" s="27"/>
      <c r="G220" s="28"/>
      <c r="H220" s="6"/>
      <c r="I220" s="10"/>
      <c r="J220" s="2"/>
      <c r="K220" s="10"/>
      <c r="L220" s="28"/>
      <c r="M220" s="6"/>
      <c r="N220" s="2"/>
    </row>
    <row r="221" spans="1:14" x14ac:dyDescent="0.2">
      <c r="A221" s="45">
        <v>180040</v>
      </c>
      <c r="B221" s="2"/>
      <c r="C221" s="10"/>
      <c r="D221" s="2"/>
      <c r="E221" s="2"/>
      <c r="F221" s="27"/>
      <c r="G221" s="28"/>
      <c r="H221" s="6"/>
      <c r="I221" s="10"/>
      <c r="J221" s="2"/>
      <c r="K221" s="10"/>
      <c r="L221" s="28"/>
      <c r="M221" s="6"/>
      <c r="N221" s="2"/>
    </row>
    <row r="222" spans="1:14" x14ac:dyDescent="0.2">
      <c r="A222" s="45">
        <v>180050</v>
      </c>
      <c r="B222" s="2"/>
      <c r="C222" s="10"/>
      <c r="D222" s="2"/>
      <c r="E222" s="2"/>
      <c r="F222" s="27"/>
      <c r="G222" s="28"/>
      <c r="H222" s="6"/>
      <c r="I222" s="10"/>
      <c r="J222" s="2"/>
      <c r="K222" s="10"/>
      <c r="L222" s="28"/>
      <c r="M222" s="6"/>
      <c r="N222" s="2"/>
    </row>
    <row r="223" spans="1:14" x14ac:dyDescent="0.2">
      <c r="A223" s="45">
        <v>190000</v>
      </c>
      <c r="B223" s="27" t="s">
        <v>412</v>
      </c>
      <c r="C223" s="10"/>
      <c r="D223" s="2"/>
      <c r="E223" s="2"/>
      <c r="F223" s="27"/>
      <c r="G223" s="28"/>
      <c r="H223" s="6"/>
      <c r="I223" s="10"/>
      <c r="J223" s="2"/>
      <c r="K223" s="10"/>
      <c r="L223" s="28"/>
      <c r="M223" s="6"/>
      <c r="N223" s="2"/>
    </row>
    <row r="224" spans="1:14" ht="25.5" x14ac:dyDescent="0.2">
      <c r="A224" s="45">
        <v>190010</v>
      </c>
      <c r="B224" s="27" t="s">
        <v>414</v>
      </c>
      <c r="C224" s="10"/>
      <c r="D224" s="27" t="s">
        <v>415</v>
      </c>
      <c r="E224" s="27"/>
      <c r="F224" s="27" t="s">
        <v>416</v>
      </c>
      <c r="G224" s="28" t="s">
        <v>418</v>
      </c>
      <c r="H224" s="6">
        <v>42712</v>
      </c>
      <c r="I224" s="10"/>
      <c r="J224" s="2"/>
      <c r="K224" s="10"/>
      <c r="L224" s="28"/>
      <c r="M224" s="6"/>
      <c r="N224" s="2"/>
    </row>
    <row r="225" spans="1:14" ht="114.75" x14ac:dyDescent="0.2">
      <c r="A225" s="45">
        <v>190030</v>
      </c>
      <c r="B225" s="27" t="s">
        <v>423</v>
      </c>
      <c r="C225" s="10"/>
      <c r="D225" s="27" t="s">
        <v>448</v>
      </c>
      <c r="E225" s="2"/>
      <c r="F225" s="27" t="s">
        <v>424</v>
      </c>
      <c r="G225" s="28" t="s">
        <v>418</v>
      </c>
      <c r="H225" s="6">
        <v>42712</v>
      </c>
      <c r="I225" s="10"/>
      <c r="J225" s="2"/>
      <c r="K225" s="10"/>
      <c r="L225" s="28"/>
      <c r="M225" s="6"/>
      <c r="N225" s="2"/>
    </row>
    <row r="226" spans="1:14" ht="25.5" x14ac:dyDescent="0.2">
      <c r="A226" s="45">
        <v>190040</v>
      </c>
      <c r="B226" s="27" t="s">
        <v>413</v>
      </c>
      <c r="C226" s="10"/>
      <c r="D226" s="27" t="s">
        <v>427</v>
      </c>
      <c r="E226" s="2"/>
      <c r="F226" s="27" t="s">
        <v>428</v>
      </c>
      <c r="G226" s="28" t="s">
        <v>420</v>
      </c>
      <c r="H226" s="6">
        <v>42712</v>
      </c>
      <c r="I226" s="10"/>
      <c r="J226" s="2"/>
      <c r="K226" s="10"/>
      <c r="L226" s="28"/>
      <c r="M226" s="6"/>
      <c r="N226" s="2"/>
    </row>
    <row r="227" spans="1:14" ht="25.5" x14ac:dyDescent="0.2">
      <c r="A227" s="45">
        <v>190050</v>
      </c>
      <c r="B227" s="27" t="s">
        <v>431</v>
      </c>
      <c r="C227" s="10"/>
      <c r="D227" s="27" t="s">
        <v>432</v>
      </c>
      <c r="E227" s="2"/>
      <c r="F227" s="27" t="s">
        <v>433</v>
      </c>
      <c r="G227" s="28" t="s">
        <v>434</v>
      </c>
      <c r="H227" s="6">
        <v>42712</v>
      </c>
      <c r="I227" s="10"/>
      <c r="J227" s="2"/>
      <c r="K227" s="10"/>
      <c r="L227" s="10"/>
      <c r="M227" s="6"/>
      <c r="N227" s="2"/>
    </row>
    <row r="228" spans="1:14" ht="25.5" x14ac:dyDescent="0.2">
      <c r="A228" s="45">
        <v>190060</v>
      </c>
      <c r="B228" s="27" t="s">
        <v>435</v>
      </c>
      <c r="C228" s="10"/>
      <c r="D228" s="27" t="s">
        <v>436</v>
      </c>
      <c r="E228" s="2"/>
      <c r="F228" s="27" t="s">
        <v>437</v>
      </c>
      <c r="G228" s="28" t="s">
        <v>434</v>
      </c>
      <c r="H228" s="6">
        <v>42712</v>
      </c>
      <c r="I228" s="10"/>
      <c r="J228" s="2"/>
      <c r="K228" s="10"/>
      <c r="L228" s="10"/>
      <c r="M228" s="6"/>
      <c r="N228" s="2"/>
    </row>
    <row r="229" spans="1:14" ht="38.25" x14ac:dyDescent="0.2">
      <c r="A229" s="45">
        <v>190070</v>
      </c>
      <c r="B229" s="27" t="s">
        <v>439</v>
      </c>
      <c r="C229" s="10"/>
      <c r="D229" s="27" t="s">
        <v>440</v>
      </c>
      <c r="E229" s="2"/>
      <c r="F229" s="27" t="s">
        <v>438</v>
      </c>
      <c r="G229" s="28" t="s">
        <v>434</v>
      </c>
      <c r="H229" s="6">
        <v>42712</v>
      </c>
      <c r="I229" s="10"/>
      <c r="J229" s="2"/>
      <c r="K229" s="10"/>
      <c r="L229" s="10"/>
      <c r="M229" s="6"/>
      <c r="N229" s="2"/>
    </row>
    <row r="230" spans="1:14" ht="25.5" x14ac:dyDescent="0.2">
      <c r="A230" s="45">
        <v>190080</v>
      </c>
      <c r="B230" s="27" t="s">
        <v>451</v>
      </c>
      <c r="C230" s="10"/>
      <c r="D230" s="27" t="s">
        <v>452</v>
      </c>
      <c r="E230" s="2"/>
      <c r="F230" s="27" t="s">
        <v>453</v>
      </c>
      <c r="G230" s="28" t="s">
        <v>420</v>
      </c>
      <c r="H230" s="3">
        <v>42712</v>
      </c>
    </row>
    <row r="231" spans="1:14" x14ac:dyDescent="0.2">
      <c r="A231" s="45">
        <v>190090</v>
      </c>
      <c r="B231" s="2"/>
      <c r="C231" s="10"/>
      <c r="D231" s="2"/>
    </row>
    <row r="232" spans="1:14" x14ac:dyDescent="0.2">
      <c r="A232" s="45">
        <v>190100</v>
      </c>
      <c r="B232" s="2"/>
      <c r="C232" s="10"/>
      <c r="D232" s="2"/>
    </row>
    <row r="233" spans="1:14" x14ac:dyDescent="0.2">
      <c r="A233" s="45">
        <v>210000</v>
      </c>
      <c r="B233" s="2"/>
      <c r="C233" s="10"/>
      <c r="D233" s="2"/>
    </row>
    <row r="234" spans="1:14" x14ac:dyDescent="0.2">
      <c r="A234" s="45">
        <v>210010</v>
      </c>
      <c r="B234" s="27" t="s">
        <v>468</v>
      </c>
      <c r="C234" s="10"/>
      <c r="D234" s="2"/>
    </row>
    <row r="235" spans="1:14" ht="25.5" x14ac:dyDescent="0.2">
      <c r="A235" s="45">
        <v>210020</v>
      </c>
      <c r="B235" s="27" t="s">
        <v>469</v>
      </c>
      <c r="C235" s="10"/>
      <c r="D235" s="2"/>
    </row>
    <row r="236" spans="1:14" x14ac:dyDescent="0.2">
      <c r="A236" s="45">
        <v>210030</v>
      </c>
      <c r="B236" s="2"/>
      <c r="C236" s="10"/>
      <c r="D236" s="2"/>
    </row>
    <row r="237" spans="1:14" x14ac:dyDescent="0.2">
      <c r="A237" s="45">
        <v>210040</v>
      </c>
      <c r="B237" s="2"/>
      <c r="C237" s="10"/>
      <c r="D237" s="2"/>
    </row>
    <row r="238" spans="1:14" x14ac:dyDescent="0.2">
      <c r="A238" s="45">
        <v>210050</v>
      </c>
      <c r="B238" s="2"/>
      <c r="C238" s="10"/>
      <c r="D238" s="2"/>
    </row>
    <row r="239" spans="1:14" x14ac:dyDescent="0.2">
      <c r="A239" s="45">
        <v>220000</v>
      </c>
      <c r="B239" s="2"/>
      <c r="C239" s="10"/>
      <c r="D239" s="2"/>
    </row>
    <row r="240" spans="1:14" x14ac:dyDescent="0.2">
      <c r="A240" s="45">
        <v>220010</v>
      </c>
      <c r="B240" s="2"/>
      <c r="C240" s="10"/>
      <c r="D240" s="2"/>
    </row>
    <row r="241" spans="1:4" x14ac:dyDescent="0.2">
      <c r="A241" s="45">
        <v>220020</v>
      </c>
      <c r="B241" s="2"/>
      <c r="C241" s="10"/>
      <c r="D241" s="2"/>
    </row>
    <row r="242" spans="1:4" x14ac:dyDescent="0.2">
      <c r="A242" s="45">
        <v>220030</v>
      </c>
      <c r="B242" s="2"/>
      <c r="C242" s="10"/>
      <c r="D242" s="2"/>
    </row>
    <row r="243" spans="1:4" x14ac:dyDescent="0.2">
      <c r="A243" s="45">
        <v>220040</v>
      </c>
      <c r="B243" s="2"/>
      <c r="C243" s="10"/>
      <c r="D243" s="2"/>
    </row>
    <row r="244" spans="1:4" x14ac:dyDescent="0.2">
      <c r="A244" s="45">
        <v>220050</v>
      </c>
      <c r="B244" s="2"/>
      <c r="C244" s="10"/>
      <c r="D244" s="2"/>
    </row>
    <row r="245" spans="1:4" x14ac:dyDescent="0.2">
      <c r="A245" s="45">
        <v>230000</v>
      </c>
      <c r="B245" s="2"/>
      <c r="C245" s="10"/>
      <c r="D245" s="2"/>
    </row>
    <row r="246" spans="1:4" x14ac:dyDescent="0.2">
      <c r="A246" s="45">
        <v>230010</v>
      </c>
      <c r="B246" s="2"/>
      <c r="C246" s="10"/>
      <c r="D246" s="2"/>
    </row>
    <row r="247" spans="1:4" x14ac:dyDescent="0.2">
      <c r="A247" s="45">
        <v>230020</v>
      </c>
      <c r="B247" s="2"/>
      <c r="C247" s="10"/>
      <c r="D247" s="2"/>
    </row>
    <row r="248" spans="1:4" x14ac:dyDescent="0.2">
      <c r="A248" s="45">
        <v>230030</v>
      </c>
      <c r="B248" s="2"/>
      <c r="C248" s="10"/>
      <c r="D248" s="2"/>
    </row>
    <row r="249" spans="1:4" x14ac:dyDescent="0.2">
      <c r="A249" s="45">
        <v>230040</v>
      </c>
      <c r="B249" s="2"/>
      <c r="C249" s="10"/>
      <c r="D249" s="2"/>
    </row>
    <row r="250" spans="1:4" x14ac:dyDescent="0.2">
      <c r="A250" s="45">
        <v>230050</v>
      </c>
      <c r="B250" s="2"/>
      <c r="C250" s="10"/>
      <c r="D250" s="2"/>
    </row>
    <row r="251" spans="1:4" x14ac:dyDescent="0.2">
      <c r="A251" s="45">
        <v>240000</v>
      </c>
      <c r="B251" s="2"/>
      <c r="C251" s="10"/>
      <c r="D251" s="2"/>
    </row>
    <row r="252" spans="1:4" x14ac:dyDescent="0.2">
      <c r="A252" s="45">
        <v>240010</v>
      </c>
      <c r="B252" s="2"/>
      <c r="C252" s="10"/>
      <c r="D252" s="2"/>
    </row>
    <row r="253" spans="1:4" x14ac:dyDescent="0.2">
      <c r="A253" s="45">
        <v>240020</v>
      </c>
      <c r="B253" s="2"/>
      <c r="C253" s="10"/>
      <c r="D253" s="2"/>
    </row>
    <row r="254" spans="1:4" x14ac:dyDescent="0.2">
      <c r="A254" s="45">
        <v>240030</v>
      </c>
      <c r="B254" s="2"/>
      <c r="C254" s="10"/>
      <c r="D254" s="2"/>
    </row>
    <row r="255" spans="1:4" x14ac:dyDescent="0.2">
      <c r="A255" s="45">
        <v>240040</v>
      </c>
      <c r="B255" s="2"/>
      <c r="C255" s="10"/>
      <c r="D255" s="2"/>
    </row>
    <row r="256" spans="1:4" x14ac:dyDescent="0.2">
      <c r="A256" s="45">
        <v>240050</v>
      </c>
      <c r="B256" s="2"/>
      <c r="C256" s="10"/>
      <c r="D256" s="2"/>
    </row>
    <row r="257" spans="1:4" x14ac:dyDescent="0.2">
      <c r="A257" s="45">
        <v>250000</v>
      </c>
      <c r="B257" s="2"/>
      <c r="C257" s="10"/>
      <c r="D257" s="2"/>
    </row>
    <row r="258" spans="1:4" x14ac:dyDescent="0.2">
      <c r="A258" s="45">
        <v>250010</v>
      </c>
      <c r="B258" s="2"/>
      <c r="C258" s="10"/>
      <c r="D258" s="2"/>
    </row>
    <row r="259" spans="1:4" x14ac:dyDescent="0.2">
      <c r="A259" s="45">
        <v>250020</v>
      </c>
      <c r="B259" s="2"/>
      <c r="C259" s="10"/>
      <c r="D259" s="2"/>
    </row>
    <row r="260" spans="1:4" x14ac:dyDescent="0.2">
      <c r="A260" s="45">
        <v>250030</v>
      </c>
      <c r="B260" s="2"/>
      <c r="C260" s="10"/>
      <c r="D260" s="2"/>
    </row>
    <row r="261" spans="1:4" x14ac:dyDescent="0.2">
      <c r="A261" s="45">
        <v>250040</v>
      </c>
      <c r="B261" s="2"/>
      <c r="C261" s="10"/>
      <c r="D261" s="2"/>
    </row>
    <row r="262" spans="1:4" x14ac:dyDescent="0.2">
      <c r="A262" s="45">
        <v>250050</v>
      </c>
      <c r="B262" s="2"/>
      <c r="C262" s="10"/>
      <c r="D262" s="2"/>
    </row>
    <row r="263" spans="1:4" x14ac:dyDescent="0.2">
      <c r="A263" s="45">
        <v>260000</v>
      </c>
      <c r="B263" s="2"/>
      <c r="C263" s="10"/>
      <c r="D263" s="2"/>
    </row>
    <row r="264" spans="1:4" x14ac:dyDescent="0.2">
      <c r="A264" s="45">
        <v>260010</v>
      </c>
      <c r="B264" s="2"/>
      <c r="C264" s="10"/>
      <c r="D264" s="2"/>
    </row>
    <row r="265" spans="1:4" x14ac:dyDescent="0.2">
      <c r="A265" s="45">
        <v>260020</v>
      </c>
      <c r="B265" s="2"/>
      <c r="C265" s="10"/>
      <c r="D265" s="2"/>
    </row>
    <row r="266" spans="1:4" x14ac:dyDescent="0.2">
      <c r="A266" s="45">
        <v>260030</v>
      </c>
      <c r="B266" s="2"/>
      <c r="C266" s="10"/>
      <c r="D266" s="2"/>
    </row>
    <row r="267" spans="1:4" x14ac:dyDescent="0.2">
      <c r="A267" s="45">
        <v>260040</v>
      </c>
      <c r="B267" s="2"/>
      <c r="C267" s="10"/>
      <c r="D267" s="2"/>
    </row>
    <row r="268" spans="1:4" x14ac:dyDescent="0.2">
      <c r="A268" s="45">
        <v>260050</v>
      </c>
      <c r="B268" s="2"/>
      <c r="C268" s="10"/>
      <c r="D268" s="2"/>
    </row>
    <row r="269" spans="1:4" x14ac:dyDescent="0.2">
      <c r="A269" s="45">
        <v>270000</v>
      </c>
      <c r="B269" s="2"/>
      <c r="C269" s="10"/>
      <c r="D269" s="2"/>
    </row>
    <row r="270" spans="1:4" x14ac:dyDescent="0.2">
      <c r="A270" s="45">
        <v>270010</v>
      </c>
      <c r="B270" s="2"/>
      <c r="C270" s="10"/>
      <c r="D270" s="2"/>
    </row>
    <row r="271" spans="1:4" x14ac:dyDescent="0.2">
      <c r="A271" s="45">
        <v>270020</v>
      </c>
      <c r="B271" s="2"/>
      <c r="C271" s="10"/>
      <c r="D271" s="2"/>
    </row>
    <row r="272" spans="1:4" x14ac:dyDescent="0.2">
      <c r="A272" s="45">
        <v>270030</v>
      </c>
      <c r="B272" s="2"/>
      <c r="C272" s="10"/>
      <c r="D272" s="2"/>
    </row>
    <row r="273" spans="1:4" x14ac:dyDescent="0.2">
      <c r="A273" s="45">
        <v>270040</v>
      </c>
      <c r="B273" s="2"/>
      <c r="C273" s="10"/>
      <c r="D273" s="2"/>
    </row>
    <row r="274" spans="1:4" x14ac:dyDescent="0.2">
      <c r="A274" s="45">
        <v>270050</v>
      </c>
      <c r="B274" s="2"/>
      <c r="C274" s="10"/>
      <c r="D274" s="2"/>
    </row>
    <row r="275" spans="1:4" x14ac:dyDescent="0.2">
      <c r="A275" s="45">
        <v>280000</v>
      </c>
      <c r="B275" s="2"/>
      <c r="C275" s="10"/>
      <c r="D275" s="2"/>
    </row>
    <row r="276" spans="1:4" x14ac:dyDescent="0.2">
      <c r="A276" s="29"/>
    </row>
    <row r="277" spans="1:4" x14ac:dyDescent="0.2">
      <c r="A277" s="29"/>
    </row>
    <row r="278" spans="1:4" x14ac:dyDescent="0.2">
      <c r="A278" s="29"/>
    </row>
    <row r="279" spans="1:4" x14ac:dyDescent="0.2">
      <c r="A279" s="29"/>
    </row>
    <row r="280" spans="1:4" x14ac:dyDescent="0.2">
      <c r="A280" s="29"/>
    </row>
    <row r="281" spans="1:4" x14ac:dyDescent="0.2">
      <c r="A281" s="29"/>
    </row>
    <row r="282" spans="1:4" x14ac:dyDescent="0.2">
      <c r="A282" s="29"/>
    </row>
    <row r="283" spans="1:4" x14ac:dyDescent="0.2">
      <c r="A283" s="29"/>
    </row>
    <row r="284" spans="1:4" x14ac:dyDescent="0.2">
      <c r="A284" s="29"/>
    </row>
    <row r="285" spans="1:4" x14ac:dyDescent="0.2">
      <c r="A285" s="29"/>
    </row>
    <row r="286" spans="1:4" x14ac:dyDescent="0.2">
      <c r="A286" s="29"/>
    </row>
    <row r="287" spans="1:4" x14ac:dyDescent="0.2">
      <c r="A287" s="29"/>
    </row>
    <row r="288" spans="1:4" x14ac:dyDescent="0.2">
      <c r="A288" s="29"/>
    </row>
    <row r="289" spans="1:1" x14ac:dyDescent="0.2">
      <c r="A289" s="29"/>
    </row>
    <row r="290" spans="1:1" x14ac:dyDescent="0.2">
      <c r="A290" s="29"/>
    </row>
    <row r="291" spans="1:1" x14ac:dyDescent="0.2">
      <c r="A291" s="29"/>
    </row>
    <row r="292" spans="1:1" x14ac:dyDescent="0.2">
      <c r="A292" s="29"/>
    </row>
    <row r="293" spans="1:1" x14ac:dyDescent="0.2">
      <c r="A293" s="29"/>
    </row>
    <row r="294" spans="1:1" x14ac:dyDescent="0.2">
      <c r="A294" s="29"/>
    </row>
    <row r="295" spans="1:1" x14ac:dyDescent="0.2">
      <c r="A295" s="29"/>
    </row>
    <row r="296" spans="1:1" x14ac:dyDescent="0.2">
      <c r="A296" s="29"/>
    </row>
    <row r="297" spans="1:1" x14ac:dyDescent="0.2">
      <c r="A297" s="29"/>
    </row>
    <row r="298" spans="1:1" x14ac:dyDescent="0.2">
      <c r="A298" s="29"/>
    </row>
    <row r="299" spans="1:1" x14ac:dyDescent="0.2">
      <c r="A299" s="29"/>
    </row>
    <row r="300" spans="1:1" x14ac:dyDescent="0.2">
      <c r="A300" s="29"/>
    </row>
    <row r="301" spans="1:1" x14ac:dyDescent="0.2">
      <c r="A301" s="29"/>
    </row>
    <row r="302" spans="1:1" x14ac:dyDescent="0.2">
      <c r="A302" s="29"/>
    </row>
    <row r="303" spans="1:1" x14ac:dyDescent="0.2">
      <c r="A303" s="29"/>
    </row>
    <row r="304" spans="1:1" x14ac:dyDescent="0.2">
      <c r="A304" s="29"/>
    </row>
    <row r="305" spans="1:1" x14ac:dyDescent="0.2">
      <c r="A305" s="29"/>
    </row>
    <row r="306" spans="1:1" x14ac:dyDescent="0.2">
      <c r="A306" s="29"/>
    </row>
    <row r="307" spans="1:1" x14ac:dyDescent="0.2">
      <c r="A307" s="29"/>
    </row>
    <row r="308" spans="1:1" x14ac:dyDescent="0.2">
      <c r="A308" s="29"/>
    </row>
    <row r="309" spans="1:1" x14ac:dyDescent="0.2">
      <c r="A309" s="29"/>
    </row>
    <row r="310" spans="1:1" x14ac:dyDescent="0.2">
      <c r="A310" s="29"/>
    </row>
    <row r="311" spans="1:1" x14ac:dyDescent="0.2">
      <c r="A311" s="29"/>
    </row>
    <row r="312" spans="1:1" x14ac:dyDescent="0.2">
      <c r="A312" s="29"/>
    </row>
    <row r="313" spans="1:1" x14ac:dyDescent="0.2">
      <c r="A313" s="29"/>
    </row>
    <row r="314" spans="1:1" x14ac:dyDescent="0.2">
      <c r="A314" s="29"/>
    </row>
    <row r="315" spans="1:1" x14ac:dyDescent="0.2">
      <c r="A315" s="29"/>
    </row>
    <row r="316" spans="1:1" x14ac:dyDescent="0.2">
      <c r="A316" s="29"/>
    </row>
    <row r="317" spans="1:1" x14ac:dyDescent="0.2">
      <c r="A317" s="29"/>
    </row>
    <row r="318" spans="1:1" x14ac:dyDescent="0.2">
      <c r="A318" s="29"/>
    </row>
    <row r="319" spans="1:1" x14ac:dyDescent="0.2">
      <c r="A319" s="29"/>
    </row>
    <row r="320" spans="1:1" x14ac:dyDescent="0.2">
      <c r="A320" s="29"/>
    </row>
    <row r="321" spans="1:1" x14ac:dyDescent="0.2">
      <c r="A321" s="29"/>
    </row>
    <row r="322" spans="1:1" x14ac:dyDescent="0.2">
      <c r="A322" s="29"/>
    </row>
    <row r="323" spans="1:1" x14ac:dyDescent="0.2">
      <c r="A323" s="29"/>
    </row>
    <row r="324" spans="1:1" x14ac:dyDescent="0.2">
      <c r="A324" s="29"/>
    </row>
    <row r="325" spans="1:1" x14ac:dyDescent="0.2">
      <c r="A325" s="29"/>
    </row>
    <row r="326" spans="1:1" x14ac:dyDescent="0.2">
      <c r="A326" s="29"/>
    </row>
    <row r="327" spans="1:1" x14ac:dyDescent="0.2">
      <c r="A327" s="29"/>
    </row>
    <row r="328" spans="1:1" x14ac:dyDescent="0.2">
      <c r="A328" s="29"/>
    </row>
    <row r="329" spans="1:1" x14ac:dyDescent="0.2">
      <c r="A329" s="29"/>
    </row>
    <row r="330" spans="1:1" x14ac:dyDescent="0.2">
      <c r="A330" s="29"/>
    </row>
    <row r="331" spans="1:1" x14ac:dyDescent="0.2">
      <c r="A331" s="29"/>
    </row>
    <row r="332" spans="1:1" x14ac:dyDescent="0.2">
      <c r="A332" s="29"/>
    </row>
    <row r="333" spans="1:1" x14ac:dyDescent="0.2">
      <c r="A333" s="29"/>
    </row>
    <row r="334" spans="1:1" x14ac:dyDescent="0.2">
      <c r="A334" s="29"/>
    </row>
    <row r="335" spans="1:1" x14ac:dyDescent="0.2">
      <c r="A335" s="29"/>
    </row>
    <row r="336" spans="1:1" x14ac:dyDescent="0.2">
      <c r="A336" s="29"/>
    </row>
    <row r="337" spans="1:1" x14ac:dyDescent="0.2">
      <c r="A337" s="29"/>
    </row>
    <row r="338" spans="1:1" x14ac:dyDescent="0.2">
      <c r="A338" s="29"/>
    </row>
    <row r="339" spans="1:1" x14ac:dyDescent="0.2">
      <c r="A339" s="29"/>
    </row>
    <row r="340" spans="1:1" x14ac:dyDescent="0.2">
      <c r="A340" s="29"/>
    </row>
    <row r="341" spans="1:1" x14ac:dyDescent="0.2">
      <c r="A341" s="29"/>
    </row>
    <row r="342" spans="1:1" x14ac:dyDescent="0.2">
      <c r="A342" s="29"/>
    </row>
    <row r="343" spans="1:1" x14ac:dyDescent="0.2">
      <c r="A343" s="29"/>
    </row>
    <row r="344" spans="1:1" x14ac:dyDescent="0.2">
      <c r="A344" s="29"/>
    </row>
    <row r="345" spans="1:1" x14ac:dyDescent="0.2">
      <c r="A345" s="29"/>
    </row>
    <row r="346" spans="1:1" x14ac:dyDescent="0.2">
      <c r="A346" s="29"/>
    </row>
    <row r="347" spans="1:1" x14ac:dyDescent="0.2">
      <c r="A347" s="29"/>
    </row>
    <row r="348" spans="1:1" x14ac:dyDescent="0.2">
      <c r="A348" s="29"/>
    </row>
    <row r="349" spans="1:1" x14ac:dyDescent="0.2">
      <c r="A349" s="29"/>
    </row>
    <row r="350" spans="1:1" x14ac:dyDescent="0.2">
      <c r="A350" s="29"/>
    </row>
    <row r="351" spans="1:1" x14ac:dyDescent="0.2">
      <c r="A351" s="29"/>
    </row>
    <row r="352" spans="1:1" x14ac:dyDescent="0.2">
      <c r="A352" s="29"/>
    </row>
    <row r="353" spans="1:1" x14ac:dyDescent="0.2">
      <c r="A353" s="29"/>
    </row>
    <row r="354" spans="1:1" x14ac:dyDescent="0.2">
      <c r="A354" s="29"/>
    </row>
    <row r="355" spans="1:1" x14ac:dyDescent="0.2">
      <c r="A355" s="29"/>
    </row>
    <row r="356" spans="1:1" x14ac:dyDescent="0.2">
      <c r="A356" s="29"/>
    </row>
    <row r="357" spans="1:1" x14ac:dyDescent="0.2">
      <c r="A357" s="29"/>
    </row>
    <row r="358" spans="1:1" x14ac:dyDescent="0.2">
      <c r="A358" s="29"/>
    </row>
    <row r="359" spans="1:1" x14ac:dyDescent="0.2">
      <c r="A359" s="29"/>
    </row>
    <row r="360" spans="1:1" x14ac:dyDescent="0.2">
      <c r="A360" s="29"/>
    </row>
    <row r="361" spans="1:1" x14ac:dyDescent="0.2">
      <c r="A361" s="29"/>
    </row>
    <row r="362" spans="1:1" x14ac:dyDescent="0.2">
      <c r="A362" s="29"/>
    </row>
    <row r="363" spans="1:1" x14ac:dyDescent="0.2">
      <c r="A363" s="29"/>
    </row>
    <row r="364" spans="1:1" x14ac:dyDescent="0.2">
      <c r="A364" s="29"/>
    </row>
    <row r="365" spans="1:1" x14ac:dyDescent="0.2">
      <c r="A365" s="29"/>
    </row>
    <row r="366" spans="1:1" x14ac:dyDescent="0.2">
      <c r="A366" s="29"/>
    </row>
    <row r="367" spans="1:1" x14ac:dyDescent="0.2">
      <c r="A367" s="29"/>
    </row>
    <row r="368" spans="1:1" x14ac:dyDescent="0.2">
      <c r="A368" s="29"/>
    </row>
    <row r="369" spans="1:1" x14ac:dyDescent="0.2">
      <c r="A369" s="29"/>
    </row>
    <row r="370" spans="1:1" x14ac:dyDescent="0.2">
      <c r="A370" s="29"/>
    </row>
    <row r="371" spans="1:1" x14ac:dyDescent="0.2">
      <c r="A371" s="29"/>
    </row>
    <row r="372" spans="1:1" x14ac:dyDescent="0.2">
      <c r="A372" s="29"/>
    </row>
    <row r="373" spans="1:1" x14ac:dyDescent="0.2">
      <c r="A373" s="29"/>
    </row>
    <row r="374" spans="1:1" x14ac:dyDescent="0.2">
      <c r="A374" s="29"/>
    </row>
    <row r="375" spans="1:1" x14ac:dyDescent="0.2">
      <c r="A375" s="29"/>
    </row>
    <row r="376" spans="1:1" x14ac:dyDescent="0.2">
      <c r="A376" s="29"/>
    </row>
    <row r="377" spans="1:1" x14ac:dyDescent="0.2">
      <c r="A377" s="29"/>
    </row>
    <row r="378" spans="1:1" x14ac:dyDescent="0.2">
      <c r="A378" s="29"/>
    </row>
    <row r="379" spans="1:1" x14ac:dyDescent="0.2">
      <c r="A379" s="29"/>
    </row>
    <row r="380" spans="1:1" x14ac:dyDescent="0.2">
      <c r="A380" s="29"/>
    </row>
    <row r="381" spans="1:1" x14ac:dyDescent="0.2">
      <c r="A381" s="29"/>
    </row>
    <row r="382" spans="1:1" x14ac:dyDescent="0.2">
      <c r="A382" s="29"/>
    </row>
    <row r="383" spans="1:1" x14ac:dyDescent="0.2">
      <c r="A383" s="29"/>
    </row>
    <row r="384" spans="1:1" x14ac:dyDescent="0.2">
      <c r="A384" s="29"/>
    </row>
    <row r="385" spans="1:1" x14ac:dyDescent="0.2">
      <c r="A385" s="29"/>
    </row>
    <row r="386" spans="1:1" x14ac:dyDescent="0.2">
      <c r="A386" s="29"/>
    </row>
    <row r="387" spans="1:1" x14ac:dyDescent="0.2">
      <c r="A387" s="29"/>
    </row>
    <row r="388" spans="1:1" x14ac:dyDescent="0.2">
      <c r="A388" s="29"/>
    </row>
    <row r="389" spans="1:1" x14ac:dyDescent="0.2">
      <c r="A389" s="29"/>
    </row>
    <row r="390" spans="1:1" x14ac:dyDescent="0.2">
      <c r="A390" s="29"/>
    </row>
    <row r="391" spans="1:1" x14ac:dyDescent="0.2">
      <c r="A391" s="29"/>
    </row>
    <row r="392" spans="1:1" x14ac:dyDescent="0.2">
      <c r="A392" s="29"/>
    </row>
    <row r="393" spans="1:1" x14ac:dyDescent="0.2">
      <c r="A393" s="29"/>
    </row>
    <row r="394" spans="1:1" x14ac:dyDescent="0.2">
      <c r="A394" s="29"/>
    </row>
    <row r="395" spans="1:1" x14ac:dyDescent="0.2">
      <c r="A395" s="29"/>
    </row>
    <row r="396" spans="1:1" x14ac:dyDescent="0.2">
      <c r="A396" s="29"/>
    </row>
    <row r="397" spans="1:1" x14ac:dyDescent="0.2">
      <c r="A397" s="29"/>
    </row>
    <row r="398" spans="1:1" x14ac:dyDescent="0.2">
      <c r="A398" s="29"/>
    </row>
    <row r="399" spans="1:1" x14ac:dyDescent="0.2">
      <c r="A399" s="29"/>
    </row>
    <row r="400" spans="1:1" x14ac:dyDescent="0.2">
      <c r="A400" s="29"/>
    </row>
    <row r="401" spans="1:1" x14ac:dyDescent="0.2">
      <c r="A401" s="29"/>
    </row>
    <row r="402" spans="1:1" x14ac:dyDescent="0.2">
      <c r="A402" s="29"/>
    </row>
    <row r="403" spans="1:1" x14ac:dyDescent="0.2">
      <c r="A403" s="29"/>
    </row>
    <row r="404" spans="1:1" x14ac:dyDescent="0.2">
      <c r="A404" s="29"/>
    </row>
    <row r="405" spans="1:1" x14ac:dyDescent="0.2">
      <c r="A405" s="29"/>
    </row>
    <row r="406" spans="1:1" x14ac:dyDescent="0.2">
      <c r="A406" s="29"/>
    </row>
    <row r="407" spans="1:1" x14ac:dyDescent="0.2">
      <c r="A407" s="29"/>
    </row>
    <row r="408" spans="1:1" x14ac:dyDescent="0.2">
      <c r="A408" s="29"/>
    </row>
    <row r="409" spans="1:1" x14ac:dyDescent="0.2">
      <c r="A409" s="29"/>
    </row>
    <row r="410" spans="1:1" x14ac:dyDescent="0.2">
      <c r="A410" s="29"/>
    </row>
    <row r="411" spans="1:1" x14ac:dyDescent="0.2">
      <c r="A411" s="29"/>
    </row>
    <row r="412" spans="1:1" x14ac:dyDescent="0.2">
      <c r="A412" s="29"/>
    </row>
    <row r="413" spans="1:1" x14ac:dyDescent="0.2">
      <c r="A413" s="29"/>
    </row>
    <row r="414" spans="1:1" x14ac:dyDescent="0.2">
      <c r="A414" s="29"/>
    </row>
    <row r="415" spans="1:1" x14ac:dyDescent="0.2">
      <c r="A415" s="29"/>
    </row>
    <row r="416" spans="1:1" x14ac:dyDescent="0.2">
      <c r="A416" s="29"/>
    </row>
    <row r="417" spans="1:1" x14ac:dyDescent="0.2">
      <c r="A417" s="29"/>
    </row>
    <row r="418" spans="1:1" x14ac:dyDescent="0.2">
      <c r="A418" s="29"/>
    </row>
    <row r="419" spans="1:1" x14ac:dyDescent="0.2">
      <c r="A419" s="29"/>
    </row>
    <row r="420" spans="1:1" x14ac:dyDescent="0.2">
      <c r="A420" s="29"/>
    </row>
    <row r="421" spans="1:1" x14ac:dyDescent="0.2">
      <c r="A421" s="29"/>
    </row>
    <row r="422" spans="1:1" x14ac:dyDescent="0.2">
      <c r="A422" s="29"/>
    </row>
    <row r="423" spans="1:1" x14ac:dyDescent="0.2">
      <c r="A423" s="29"/>
    </row>
    <row r="424" spans="1:1" x14ac:dyDescent="0.2">
      <c r="A424" s="29"/>
    </row>
    <row r="425" spans="1:1" x14ac:dyDescent="0.2">
      <c r="A425" s="29"/>
    </row>
    <row r="426" spans="1:1" x14ac:dyDescent="0.2">
      <c r="A426" s="29"/>
    </row>
    <row r="427" spans="1:1" x14ac:dyDescent="0.2">
      <c r="A427" s="29"/>
    </row>
    <row r="428" spans="1:1" x14ac:dyDescent="0.2">
      <c r="A428" s="29"/>
    </row>
    <row r="429" spans="1:1" x14ac:dyDescent="0.2">
      <c r="A429" s="29"/>
    </row>
    <row r="430" spans="1:1" x14ac:dyDescent="0.2">
      <c r="A430" s="29"/>
    </row>
    <row r="431" spans="1:1" x14ac:dyDescent="0.2">
      <c r="A431" s="29"/>
    </row>
    <row r="432" spans="1:1" x14ac:dyDescent="0.2">
      <c r="A432" s="29"/>
    </row>
    <row r="433" spans="1:1" x14ac:dyDescent="0.2">
      <c r="A433" s="29"/>
    </row>
    <row r="434" spans="1:1" x14ac:dyDescent="0.2">
      <c r="A434" s="29"/>
    </row>
    <row r="435" spans="1:1" x14ac:dyDescent="0.2">
      <c r="A435" s="29"/>
    </row>
    <row r="436" spans="1:1" x14ac:dyDescent="0.2">
      <c r="A436" s="29"/>
    </row>
    <row r="437" spans="1:1" x14ac:dyDescent="0.2">
      <c r="A437" s="29"/>
    </row>
    <row r="438" spans="1:1" x14ac:dyDescent="0.2">
      <c r="A438" s="29"/>
    </row>
    <row r="439" spans="1:1" x14ac:dyDescent="0.2">
      <c r="A439" s="29"/>
    </row>
    <row r="440" spans="1:1" x14ac:dyDescent="0.2">
      <c r="A440" s="29"/>
    </row>
    <row r="441" spans="1:1" x14ac:dyDescent="0.2">
      <c r="A441" s="29"/>
    </row>
    <row r="442" spans="1:1" x14ac:dyDescent="0.2">
      <c r="A442" s="29"/>
    </row>
    <row r="443" spans="1:1" x14ac:dyDescent="0.2">
      <c r="A443" s="29"/>
    </row>
    <row r="444" spans="1:1" x14ac:dyDescent="0.2">
      <c r="A444" s="29"/>
    </row>
    <row r="445" spans="1:1" x14ac:dyDescent="0.2">
      <c r="A445" s="29"/>
    </row>
    <row r="446" spans="1:1" x14ac:dyDescent="0.2">
      <c r="A446" s="29"/>
    </row>
    <row r="447" spans="1:1" x14ac:dyDescent="0.2">
      <c r="A447" s="29"/>
    </row>
    <row r="448" spans="1:1" x14ac:dyDescent="0.2">
      <c r="A448" s="29"/>
    </row>
    <row r="449" spans="1:1" x14ac:dyDescent="0.2">
      <c r="A449" s="29"/>
    </row>
    <row r="450" spans="1:1" x14ac:dyDescent="0.2">
      <c r="A450" s="29"/>
    </row>
    <row r="451" spans="1:1" x14ac:dyDescent="0.2">
      <c r="A451" s="29"/>
    </row>
    <row r="452" spans="1:1" x14ac:dyDescent="0.2">
      <c r="A452" s="29"/>
    </row>
    <row r="453" spans="1:1" x14ac:dyDescent="0.2">
      <c r="A453" s="29"/>
    </row>
    <row r="454" spans="1:1" x14ac:dyDescent="0.2">
      <c r="A454" s="29"/>
    </row>
    <row r="455" spans="1:1" x14ac:dyDescent="0.2">
      <c r="A455" s="29"/>
    </row>
    <row r="456" spans="1:1" x14ac:dyDescent="0.2">
      <c r="A456" s="29"/>
    </row>
    <row r="457" spans="1:1" x14ac:dyDescent="0.2">
      <c r="A457" s="29"/>
    </row>
    <row r="458" spans="1:1" x14ac:dyDescent="0.2">
      <c r="A458" s="29"/>
    </row>
    <row r="459" spans="1:1" x14ac:dyDescent="0.2">
      <c r="A459" s="29"/>
    </row>
    <row r="460" spans="1:1" x14ac:dyDescent="0.2">
      <c r="A460" s="29"/>
    </row>
    <row r="461" spans="1:1" x14ac:dyDescent="0.2">
      <c r="A461" s="29"/>
    </row>
    <row r="462" spans="1:1" x14ac:dyDescent="0.2">
      <c r="A462" s="29"/>
    </row>
    <row r="463" spans="1:1" x14ac:dyDescent="0.2">
      <c r="A463" s="29"/>
    </row>
    <row r="464" spans="1:1" x14ac:dyDescent="0.2">
      <c r="A464" s="29"/>
    </row>
    <row r="465" spans="1:1" x14ac:dyDescent="0.2">
      <c r="A465" s="29"/>
    </row>
    <row r="466" spans="1:1" x14ac:dyDescent="0.2">
      <c r="A466" s="29"/>
    </row>
    <row r="467" spans="1:1" x14ac:dyDescent="0.2">
      <c r="A467" s="29"/>
    </row>
    <row r="468" spans="1:1" x14ac:dyDescent="0.2">
      <c r="A468" s="29"/>
    </row>
    <row r="469" spans="1:1" x14ac:dyDescent="0.2">
      <c r="A469" s="29"/>
    </row>
    <row r="470" spans="1:1" x14ac:dyDescent="0.2">
      <c r="A470" s="29"/>
    </row>
    <row r="471" spans="1:1" x14ac:dyDescent="0.2">
      <c r="A471" s="29"/>
    </row>
    <row r="472" spans="1:1" x14ac:dyDescent="0.2">
      <c r="A472" s="29"/>
    </row>
    <row r="473" spans="1:1" x14ac:dyDescent="0.2">
      <c r="A473" s="29"/>
    </row>
    <row r="474" spans="1:1" x14ac:dyDescent="0.2">
      <c r="A474" s="29"/>
    </row>
    <row r="475" spans="1:1" x14ac:dyDescent="0.2">
      <c r="A475" s="29"/>
    </row>
    <row r="476" spans="1:1" x14ac:dyDescent="0.2">
      <c r="A476" s="29"/>
    </row>
    <row r="477" spans="1:1" x14ac:dyDescent="0.2">
      <c r="A477" s="29"/>
    </row>
    <row r="478" spans="1:1" x14ac:dyDescent="0.2">
      <c r="A478" s="29"/>
    </row>
    <row r="479" spans="1:1" x14ac:dyDescent="0.2">
      <c r="A479" s="29"/>
    </row>
    <row r="480" spans="1:1" x14ac:dyDescent="0.2">
      <c r="A480" s="29"/>
    </row>
    <row r="481" spans="1:1" x14ac:dyDescent="0.2">
      <c r="A481" s="29"/>
    </row>
    <row r="482" spans="1:1" x14ac:dyDescent="0.2">
      <c r="A482" s="29"/>
    </row>
    <row r="483" spans="1:1" x14ac:dyDescent="0.2">
      <c r="A483" s="29"/>
    </row>
    <row r="484" spans="1:1" x14ac:dyDescent="0.2">
      <c r="A484" s="29"/>
    </row>
    <row r="485" spans="1:1" x14ac:dyDescent="0.2">
      <c r="A485" s="29"/>
    </row>
    <row r="486" spans="1:1" x14ac:dyDescent="0.2">
      <c r="A486" s="29"/>
    </row>
    <row r="487" spans="1:1" x14ac:dyDescent="0.2">
      <c r="A487" s="29"/>
    </row>
    <row r="488" spans="1:1" x14ac:dyDescent="0.2">
      <c r="A488" s="29"/>
    </row>
    <row r="489" spans="1:1" x14ac:dyDescent="0.2">
      <c r="A489" s="29"/>
    </row>
    <row r="490" spans="1:1" x14ac:dyDescent="0.2">
      <c r="A490" s="29"/>
    </row>
    <row r="491" spans="1:1" x14ac:dyDescent="0.2">
      <c r="A491" s="29"/>
    </row>
    <row r="492" spans="1:1" x14ac:dyDescent="0.2">
      <c r="A492" s="29"/>
    </row>
    <row r="493" spans="1:1" x14ac:dyDescent="0.2">
      <c r="A493" s="29"/>
    </row>
    <row r="494" spans="1:1" x14ac:dyDescent="0.2">
      <c r="A494" s="29"/>
    </row>
    <row r="495" spans="1:1" x14ac:dyDescent="0.2">
      <c r="A495" s="29"/>
    </row>
    <row r="496" spans="1:1" x14ac:dyDescent="0.2">
      <c r="A496" s="29"/>
    </row>
    <row r="497" spans="1:14" x14ac:dyDescent="0.2">
      <c r="A497" s="29"/>
    </row>
    <row r="498" spans="1:14" x14ac:dyDescent="0.2">
      <c r="A498" s="29"/>
    </row>
    <row r="499" spans="1:14" x14ac:dyDescent="0.2">
      <c r="A499" s="29"/>
    </row>
    <row r="500" spans="1:14" x14ac:dyDescent="0.2">
      <c r="A500" s="29"/>
    </row>
    <row r="501" spans="1:14" x14ac:dyDescent="0.2">
      <c r="A501" s="29"/>
    </row>
    <row r="502" spans="1:14" x14ac:dyDescent="0.2">
      <c r="A502" s="29"/>
    </row>
    <row r="503" spans="1:14" x14ac:dyDescent="0.2">
      <c r="A503" s="29"/>
    </row>
    <row r="504" spans="1:14" x14ac:dyDescent="0.2">
      <c r="A504" s="29"/>
    </row>
    <row r="505" spans="1:14" x14ac:dyDescent="0.2">
      <c r="A505" s="29"/>
    </row>
    <row r="506" spans="1:14" x14ac:dyDescent="0.2">
      <c r="A506" s="29"/>
    </row>
    <row r="507" spans="1:14" x14ac:dyDescent="0.2">
      <c r="A507" s="29"/>
      <c r="B507" s="2"/>
      <c r="C507" s="10"/>
      <c r="D507" s="2"/>
      <c r="E507" s="21"/>
      <c r="F507" s="2" t="s">
        <v>12</v>
      </c>
      <c r="G507" s="10" t="s">
        <v>12</v>
      </c>
      <c r="H507" s="6" t="s">
        <v>12</v>
      </c>
      <c r="I507" s="10"/>
      <c r="J507" s="2" t="s">
        <v>12</v>
      </c>
      <c r="K507" s="22" t="s">
        <v>12</v>
      </c>
      <c r="L507" s="10" t="s">
        <v>12</v>
      </c>
      <c r="M507" s="6" t="s">
        <v>12</v>
      </c>
      <c r="N507" s="21" t="s">
        <v>12</v>
      </c>
    </row>
    <row r="508" spans="1:14" x14ac:dyDescent="0.2">
      <c r="A508" s="29"/>
    </row>
    <row r="509" spans="1:14" x14ac:dyDescent="0.2">
      <c r="A509" s="29"/>
    </row>
    <row r="510" spans="1:14" x14ac:dyDescent="0.2">
      <c r="A510" s="29"/>
    </row>
    <row r="511" spans="1:14" x14ac:dyDescent="0.2">
      <c r="A511" s="29"/>
    </row>
    <row r="512" spans="1:14" x14ac:dyDescent="0.2">
      <c r="A512" s="29"/>
    </row>
    <row r="513" spans="1:1" x14ac:dyDescent="0.2">
      <c r="A513" s="29"/>
    </row>
    <row r="514" spans="1:1" x14ac:dyDescent="0.2">
      <c r="A514" s="29"/>
    </row>
    <row r="515" spans="1:1" x14ac:dyDescent="0.2">
      <c r="A515" s="29"/>
    </row>
    <row r="516" spans="1:1" x14ac:dyDescent="0.2">
      <c r="A516" s="29"/>
    </row>
    <row r="517" spans="1:1" x14ac:dyDescent="0.2">
      <c r="A517" s="29"/>
    </row>
    <row r="518" spans="1:1" x14ac:dyDescent="0.2">
      <c r="A518" s="29"/>
    </row>
    <row r="519" spans="1:1" x14ac:dyDescent="0.2">
      <c r="A519" s="29"/>
    </row>
    <row r="520" spans="1:1" x14ac:dyDescent="0.2">
      <c r="A520" s="29"/>
    </row>
    <row r="521" spans="1:1" x14ac:dyDescent="0.2">
      <c r="A521" s="29"/>
    </row>
    <row r="522" spans="1:1" x14ac:dyDescent="0.2">
      <c r="A522" s="29"/>
    </row>
    <row r="523" spans="1:1" x14ac:dyDescent="0.2">
      <c r="A523" s="29"/>
    </row>
    <row r="524" spans="1:1" x14ac:dyDescent="0.2">
      <c r="A524" s="29"/>
    </row>
    <row r="525" spans="1:1" x14ac:dyDescent="0.2">
      <c r="A525" s="29"/>
    </row>
    <row r="526" spans="1:1" x14ac:dyDescent="0.2">
      <c r="A526" s="29"/>
    </row>
    <row r="527" spans="1:1" x14ac:dyDescent="0.2">
      <c r="A527" s="29"/>
    </row>
    <row r="528" spans="1:1" x14ac:dyDescent="0.2">
      <c r="A528" s="29"/>
    </row>
    <row r="529" spans="1:1" x14ac:dyDescent="0.2">
      <c r="A529" s="29"/>
    </row>
    <row r="530" spans="1:1" x14ac:dyDescent="0.2">
      <c r="A530" s="29"/>
    </row>
    <row r="531" spans="1:1" x14ac:dyDescent="0.2">
      <c r="A531" s="29"/>
    </row>
    <row r="532" spans="1:1" x14ac:dyDescent="0.2">
      <c r="A532" s="29"/>
    </row>
    <row r="533" spans="1:1" x14ac:dyDescent="0.2">
      <c r="A533" s="29"/>
    </row>
    <row r="534" spans="1:1" x14ac:dyDescent="0.2">
      <c r="A534" s="29"/>
    </row>
    <row r="535" spans="1:1" x14ac:dyDescent="0.2">
      <c r="A535" s="29"/>
    </row>
    <row r="536" spans="1:1" x14ac:dyDescent="0.2">
      <c r="A536" s="29"/>
    </row>
    <row r="537" spans="1:1" x14ac:dyDescent="0.2">
      <c r="A537" s="29"/>
    </row>
    <row r="538" spans="1:1" x14ac:dyDescent="0.2">
      <c r="A538" s="29"/>
    </row>
    <row r="539" spans="1:1" x14ac:dyDescent="0.2">
      <c r="A539" s="29"/>
    </row>
    <row r="540" spans="1:1" x14ac:dyDescent="0.2">
      <c r="A540" s="29"/>
    </row>
    <row r="541" spans="1:1" x14ac:dyDescent="0.2">
      <c r="A541" s="29"/>
    </row>
    <row r="542" spans="1:1" x14ac:dyDescent="0.2">
      <c r="A542" s="29"/>
    </row>
    <row r="543" spans="1:1" x14ac:dyDescent="0.2">
      <c r="A543" s="29"/>
    </row>
    <row r="544" spans="1:1" x14ac:dyDescent="0.2">
      <c r="A544" s="29"/>
    </row>
    <row r="545" spans="1:1" x14ac:dyDescent="0.2">
      <c r="A545" s="29"/>
    </row>
    <row r="546" spans="1:1" x14ac:dyDescent="0.2">
      <c r="A546" s="29"/>
    </row>
    <row r="547" spans="1:1" x14ac:dyDescent="0.2">
      <c r="A547" s="29"/>
    </row>
    <row r="548" spans="1:1" x14ac:dyDescent="0.2">
      <c r="A548" s="29"/>
    </row>
    <row r="549" spans="1:1" x14ac:dyDescent="0.2">
      <c r="A549" s="29"/>
    </row>
    <row r="550" spans="1:1" x14ac:dyDescent="0.2">
      <c r="A550" s="29"/>
    </row>
    <row r="551" spans="1:1" x14ac:dyDescent="0.2">
      <c r="A551" s="29"/>
    </row>
    <row r="552" spans="1:1" x14ac:dyDescent="0.2">
      <c r="A552" s="29"/>
    </row>
    <row r="553" spans="1:1" x14ac:dyDescent="0.2">
      <c r="A553" s="29"/>
    </row>
    <row r="554" spans="1:1" x14ac:dyDescent="0.2">
      <c r="A554" s="29"/>
    </row>
    <row r="555" spans="1:1" x14ac:dyDescent="0.2">
      <c r="A555" s="29"/>
    </row>
  </sheetData>
  <sortState ref="A7:L500">
    <sortCondition ref="L7"/>
    <sortCondition ref="A7"/>
  </sortState>
  <mergeCells count="1">
    <mergeCell ref="A2:B2"/>
  </mergeCells>
  <phoneticPr fontId="2" type="noConversion"/>
  <conditionalFormatting sqref="A276:A555 E227:G228 H205:N210 E204:N204 H202:N203 H63:N103 A225:A232 E211:N225 B225:D230 H8:N56 E8:G53 E104:N201 A8:D201">
    <cfRule type="expression" dxfId="29" priority="154" stopIfTrue="1">
      <formula>AND($F8&lt;&gt;"ok",$F8&lt;&gt;"na",$G8&lt;&gt;"",$L8="")</formula>
    </cfRule>
    <cfRule type="expression" dxfId="28" priority="156" stopIfTrue="1">
      <formula>AND($F8="na")</formula>
    </cfRule>
  </conditionalFormatting>
  <conditionalFormatting sqref="A507:N507">
    <cfRule type="expression" dxfId="27" priority="46" stopIfTrue="1">
      <formula>AND($F507&lt;&gt;"ok",$F507&lt;&gt;"na",$G507&lt;&gt;"",$L507="")</formula>
    </cfRule>
    <cfRule type="expression" dxfId="26" priority="47" stopIfTrue="1">
      <formula>AND(MID($A507,4,4)=".000")</formula>
    </cfRule>
    <cfRule type="expression" dxfId="25" priority="48" stopIfTrue="1">
      <formula>AND($F507="na")</formula>
    </cfRule>
  </conditionalFormatting>
  <conditionalFormatting sqref="A276:N507 E231:N275 H205:N210 E204:N204 H202:N203 H63:N103 A225:A232 E211:N224 B225:N230 H8:N56 E8:G53 E104:N201 A8:D201">
    <cfRule type="expression" dxfId="24" priority="155" stopIfTrue="1">
      <formula>AND(INT($A8/1000)=$A8/1000,$A8&lt;&gt;"")</formula>
    </cfRule>
  </conditionalFormatting>
  <conditionalFormatting sqref="H57:N62">
    <cfRule type="expression" dxfId="23" priority="31" stopIfTrue="1">
      <formula>AND($F57&lt;&gt;"ok",$F57&lt;&gt;"na",$G57&lt;&gt;"",$L57="")</formula>
    </cfRule>
    <cfRule type="expression" dxfId="22" priority="33" stopIfTrue="1">
      <formula>AND($F57="na")</formula>
    </cfRule>
  </conditionalFormatting>
  <conditionalFormatting sqref="H57:N62">
    <cfRule type="expression" dxfId="21" priority="32" stopIfTrue="1">
      <formula>AND(INT($A57/1000)=$A57/1000,$A57&lt;&gt;"")</formula>
    </cfRule>
  </conditionalFormatting>
  <conditionalFormatting sqref="A233:D275 B231:D232 A211:D224 A204:D204">
    <cfRule type="expression" dxfId="20" priority="28" stopIfTrue="1">
      <formula>AND($F204&lt;&gt;"ok",$F204&lt;&gt;"na",$G204&lt;&gt;"",$L204="")</formula>
    </cfRule>
    <cfRule type="expression" dxfId="19" priority="30" stopIfTrue="1">
      <formula>AND($F204="na")</formula>
    </cfRule>
  </conditionalFormatting>
  <conditionalFormatting sqref="A233:D275 B231:D232 A211:D224 A204:D204">
    <cfRule type="expression" dxfId="18" priority="29" stopIfTrue="1">
      <formula>AND(INT($A204/1000)=$A204/1000,$A204&lt;&gt;"")</formula>
    </cfRule>
  </conditionalFormatting>
  <conditionalFormatting sqref="E205:G210">
    <cfRule type="expression" dxfId="17" priority="19" stopIfTrue="1">
      <formula>AND($F205&lt;&gt;"ok",$F205&lt;&gt;"na",$G205&lt;&gt;"",$L205="")</formula>
    </cfRule>
    <cfRule type="expression" dxfId="16" priority="21" stopIfTrue="1">
      <formula>AND($F205="na")</formula>
    </cfRule>
  </conditionalFormatting>
  <conditionalFormatting sqref="E205:G210">
    <cfRule type="expression" dxfId="15" priority="20" stopIfTrue="1">
      <formula>AND(INT($A205/1000)=$A205/1000,$A205&lt;&gt;"")</formula>
    </cfRule>
  </conditionalFormatting>
  <conditionalFormatting sqref="A205:D210">
    <cfRule type="expression" dxfId="14" priority="16" stopIfTrue="1">
      <formula>AND($F205&lt;&gt;"ok",$F205&lt;&gt;"na",$G205&lt;&gt;"",$L205="")</formula>
    </cfRule>
    <cfRule type="expression" dxfId="13" priority="18" stopIfTrue="1">
      <formula>AND($F205="na")</formula>
    </cfRule>
  </conditionalFormatting>
  <conditionalFormatting sqref="A205:D210">
    <cfRule type="expression" dxfId="12" priority="17" stopIfTrue="1">
      <formula>AND(INT($A205/1000)=$A205/1000,$A205&lt;&gt;"")</formula>
    </cfRule>
  </conditionalFormatting>
  <conditionalFormatting sqref="E202:G203">
    <cfRule type="expression" dxfId="11" priority="13" stopIfTrue="1">
      <formula>AND($F202&lt;&gt;"ok",$F202&lt;&gt;"na",$G202&lt;&gt;"",$L202="")</formula>
    </cfRule>
    <cfRule type="expression" dxfId="10" priority="15" stopIfTrue="1">
      <formula>AND($F202="na")</formula>
    </cfRule>
  </conditionalFormatting>
  <conditionalFormatting sqref="E202:G203">
    <cfRule type="expression" dxfId="9" priority="14" stopIfTrue="1">
      <formula>AND(INT($A202/1000)=$A202/1000,$A202&lt;&gt;"")</formula>
    </cfRule>
  </conditionalFormatting>
  <conditionalFormatting sqref="A202:D203">
    <cfRule type="expression" dxfId="8" priority="10" stopIfTrue="1">
      <formula>AND($F202&lt;&gt;"ok",$F202&lt;&gt;"na",$G202&lt;&gt;"",$L202="")</formula>
    </cfRule>
    <cfRule type="expression" dxfId="7" priority="12" stopIfTrue="1">
      <formula>AND($F202="na")</formula>
    </cfRule>
  </conditionalFormatting>
  <conditionalFormatting sqref="A202:D203">
    <cfRule type="expression" dxfId="6" priority="11" stopIfTrue="1">
      <formula>AND(INT($A202/1000)=$A202/1000,$A202&lt;&gt;"")</formula>
    </cfRule>
  </conditionalFormatting>
  <conditionalFormatting sqref="E54:F56 G54:G58 E63:F68 E69:G103">
    <cfRule type="expression" dxfId="5" priority="7" stopIfTrue="1">
      <formula>AND($F54&lt;&gt;"ok",$F54&lt;&gt;"na",$G54&lt;&gt;"",$L54="")</formula>
    </cfRule>
    <cfRule type="expression" dxfId="4" priority="9" stopIfTrue="1">
      <formula>AND($F54="na")</formula>
    </cfRule>
  </conditionalFormatting>
  <conditionalFormatting sqref="E54:F56 G54:G58 E63:F68 E69:G103">
    <cfRule type="expression" dxfId="3" priority="8" stopIfTrue="1">
      <formula>AND(INT($A54/1000)=$A54/1000,$A54&lt;&gt;"")</formula>
    </cfRule>
  </conditionalFormatting>
  <conditionalFormatting sqref="E59:G62 E57:F58 G63:G68">
    <cfRule type="expression" dxfId="2" priority="4" stopIfTrue="1">
      <formula>AND($F57&lt;&gt;"ok",$F57&lt;&gt;"na",$G57&lt;&gt;"",$L57="")</formula>
    </cfRule>
    <cfRule type="expression" dxfId="1" priority="6" stopIfTrue="1">
      <formula>AND($F57="na")</formula>
    </cfRule>
  </conditionalFormatting>
  <conditionalFormatting sqref="E59:G62 E57:F58 G63:G68">
    <cfRule type="expression" dxfId="0" priority="5" stopIfTrue="1">
      <formula>AND(INT($A57/1000)=$A57/1000,$A57&lt;&gt;"")</formula>
    </cfRule>
  </conditionalFormatting>
  <printOptions gridLines="1"/>
  <pageMargins left="0.39370078740157483" right="0.39370078740157483" top="0.39370078740157483" bottom="0.39370078740157483" header="0.51181102362204722" footer="0.19685039370078741"/>
  <pageSetup scale="56" fitToHeight="21" orientation="portrait" horizontalDpi="1200" verticalDpi="1200" r:id="rId1"/>
  <headerFooter alignWithMargins="0">
    <oddFooter>&amp;L&amp;D&amp;C&amp;F&amp;RPage &amp;P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028" r:id="rId4" name="Button 4">
              <controlPr defaultSize="0" print="0" autoFill="0" autoPict="0" macro="[0]!DateTestJour">
                <anchor moveWithCells="1" sizeWithCells="1">
                  <from>
                    <xdr:col>7</xdr:col>
                    <xdr:colOff>38100</xdr:colOff>
                    <xdr:row>6</xdr:row>
                    <xdr:rowOff>57150</xdr:rowOff>
                  </from>
                  <to>
                    <xdr:col>7</xdr:col>
                    <xdr:colOff>800100</xdr:colOff>
                    <xdr:row>6</xdr:row>
                    <xdr:rowOff>257175</xdr:rowOff>
                  </to>
                </anchor>
              </controlPr>
            </control>
          </mc:Choice>
        </mc:AlternateContent>
        <mc:AlternateContent xmlns:mc="http://schemas.openxmlformats.org/markup-compatibility/2006">
          <mc:Choice Requires="x14">
            <control shapeId="1029" r:id="rId5" name="Button 5">
              <controlPr defaultSize="0" print="0" autoFill="0" autoPict="0" macro="[0]!DateCorrectionJour">
                <anchor moveWithCells="1" sizeWithCells="1">
                  <from>
                    <xdr:col>12</xdr:col>
                    <xdr:colOff>38100</xdr:colOff>
                    <xdr:row>6</xdr:row>
                    <xdr:rowOff>304800</xdr:rowOff>
                  </from>
                  <to>
                    <xdr:col>12</xdr:col>
                    <xdr:colOff>800100</xdr:colOff>
                    <xdr:row>6</xdr:row>
                    <xdr:rowOff>504825</xdr:rowOff>
                  </to>
                </anchor>
              </controlPr>
            </control>
          </mc:Choice>
        </mc:AlternateContent>
        <mc:AlternateContent xmlns:mc="http://schemas.openxmlformats.org/markup-compatibility/2006">
          <mc:Choice Requires="x14">
            <control shapeId="1031" r:id="rId6" name="Button 7">
              <controlPr defaultSize="0" print="0" autoFill="0" autoPict="0" macro="[0]!CacherOK">
                <anchor moveWithCells="1" sizeWithCells="1">
                  <from>
                    <xdr:col>5</xdr:col>
                    <xdr:colOff>28575</xdr:colOff>
                    <xdr:row>6</xdr:row>
                    <xdr:rowOff>57150</xdr:rowOff>
                  </from>
                  <to>
                    <xdr:col>5</xdr:col>
                    <xdr:colOff>790575</xdr:colOff>
                    <xdr:row>6</xdr:row>
                    <xdr:rowOff>257175</xdr:rowOff>
                  </to>
                </anchor>
              </controlPr>
            </control>
          </mc:Choice>
        </mc:AlternateContent>
        <mc:AlternateContent xmlns:mc="http://schemas.openxmlformats.org/markup-compatibility/2006">
          <mc:Choice Requires="x14">
            <control shapeId="1032" r:id="rId7" name="Button 8">
              <controlPr defaultSize="0" print="0" autoFill="0" autoPict="0" macro="[0]!AfficherTout">
                <anchor moveWithCells="1" sizeWithCells="1">
                  <from>
                    <xdr:col>5</xdr:col>
                    <xdr:colOff>819150</xdr:colOff>
                    <xdr:row>6</xdr:row>
                    <xdr:rowOff>57150</xdr:rowOff>
                  </from>
                  <to>
                    <xdr:col>5</xdr:col>
                    <xdr:colOff>1581150</xdr:colOff>
                    <xdr:row>6</xdr:row>
                    <xdr:rowOff>257175</xdr:rowOff>
                  </to>
                </anchor>
              </controlPr>
            </control>
          </mc:Choice>
        </mc:AlternateContent>
        <mc:AlternateContent xmlns:mc="http://schemas.openxmlformats.org/markup-compatibility/2006">
          <mc:Choice Requires="x14">
            <control shapeId="1033" r:id="rId8" name="Button 9">
              <controlPr defaultSize="0" print="0" autoFill="0" autoPict="0" macro="[0]!TrierCas">
                <anchor moveWithCells="1" sizeWithCells="1">
                  <from>
                    <xdr:col>0</xdr:col>
                    <xdr:colOff>38100</xdr:colOff>
                    <xdr:row>6</xdr:row>
                    <xdr:rowOff>57150</xdr:rowOff>
                  </from>
                  <to>
                    <xdr:col>0</xdr:col>
                    <xdr:colOff>476250</xdr:colOff>
                    <xdr:row>6</xdr:row>
                    <xdr:rowOff>266700</xdr:rowOff>
                  </to>
                </anchor>
              </controlPr>
            </control>
          </mc:Choice>
        </mc:AlternateContent>
        <mc:AlternateContent xmlns:mc="http://schemas.openxmlformats.org/markup-compatibility/2006">
          <mc:Choice Requires="x14">
            <control shapeId="1034" r:id="rId9" name="Button 10">
              <controlPr defaultSize="0" print="0" autoFill="0" autoPict="0" macro="[0]!TrierGravite">
                <anchor moveWithCells="1" sizeWithCells="1">
                  <from>
                    <xdr:col>9</xdr:col>
                    <xdr:colOff>38100</xdr:colOff>
                    <xdr:row>6</xdr:row>
                    <xdr:rowOff>57150</xdr:rowOff>
                  </from>
                  <to>
                    <xdr:col>9</xdr:col>
                    <xdr:colOff>457200</xdr:colOff>
                    <xdr:row>6</xdr:row>
                    <xdr:rowOff>266700</xdr:rowOff>
                  </to>
                </anchor>
              </controlPr>
            </control>
          </mc:Choice>
        </mc:AlternateContent>
        <mc:AlternateContent xmlns:mc="http://schemas.openxmlformats.org/markup-compatibility/2006">
          <mc:Choice Requires="x14">
            <control shapeId="1035" r:id="rId10" name="Button 11">
              <controlPr defaultSize="0" print="0" autoFill="0" autoPict="0" macro="[0]!TrierCorrection">
                <anchor moveWithCells="1" sizeWithCells="1">
                  <from>
                    <xdr:col>12</xdr:col>
                    <xdr:colOff>38100</xdr:colOff>
                    <xdr:row>6</xdr:row>
                    <xdr:rowOff>57150</xdr:rowOff>
                  </from>
                  <to>
                    <xdr:col>12</xdr:col>
                    <xdr:colOff>800100</xdr:colOff>
                    <xdr:row>6</xdr:row>
                    <xdr:rowOff>266700</xdr:rowOff>
                  </to>
                </anchor>
              </controlPr>
            </control>
          </mc:Choice>
        </mc:AlternateContent>
        <mc:AlternateContent xmlns:mc="http://schemas.openxmlformats.org/markup-compatibility/2006">
          <mc:Choice Requires="x14">
            <control shapeId="1036" r:id="rId11" name="Button 12">
              <controlPr defaultSize="0" print="0" autoFill="0" autoPict="0" macro="[0]!TrierProgInt">
                <anchor moveWithCells="1" sizeWithCells="1">
                  <from>
                    <xdr:col>10</xdr:col>
                    <xdr:colOff>38100</xdr:colOff>
                    <xdr:row>6</xdr:row>
                    <xdr:rowOff>57150</xdr:rowOff>
                  </from>
                  <to>
                    <xdr:col>10</xdr:col>
                    <xdr:colOff>400050</xdr:colOff>
                    <xdr:row>6</xdr:row>
                    <xdr:rowOff>266700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
  <dimension ref="A1:B38"/>
  <sheetViews>
    <sheetView workbookViewId="0"/>
  </sheetViews>
  <sheetFormatPr baseColWidth="10" defaultRowHeight="12.75" x14ac:dyDescent="0.2"/>
  <cols>
    <col min="1" max="1" width="4.7109375" customWidth="1"/>
  </cols>
  <sheetData>
    <row r="1" spans="1:2" ht="15.75" x14ac:dyDescent="0.25">
      <c r="A1" s="24" t="s">
        <v>18</v>
      </c>
    </row>
    <row r="3" spans="1:2" x14ac:dyDescent="0.2">
      <c r="A3" s="26" t="s">
        <v>19</v>
      </c>
      <c r="B3" s="26" t="s">
        <v>44</v>
      </c>
    </row>
    <row r="4" spans="1:2" x14ac:dyDescent="0.2">
      <c r="A4" s="26"/>
      <c r="B4" s="26" t="s">
        <v>47</v>
      </c>
    </row>
    <row r="5" spans="1:2" x14ac:dyDescent="0.2">
      <c r="A5" s="26"/>
      <c r="B5" s="26" t="s">
        <v>48</v>
      </c>
    </row>
    <row r="6" spans="1:2" x14ac:dyDescent="0.2">
      <c r="A6" s="26"/>
      <c r="B6" s="26" t="s">
        <v>45</v>
      </c>
    </row>
    <row r="7" spans="1:2" x14ac:dyDescent="0.2">
      <c r="A7" s="26"/>
      <c r="B7" s="26" t="s">
        <v>46</v>
      </c>
    </row>
    <row r="9" spans="1:2" x14ac:dyDescent="0.2">
      <c r="A9" s="26" t="s">
        <v>20</v>
      </c>
      <c r="B9" s="26" t="s">
        <v>42</v>
      </c>
    </row>
    <row r="10" spans="1:2" x14ac:dyDescent="0.2">
      <c r="A10" s="26"/>
      <c r="B10" s="26" t="s">
        <v>63</v>
      </c>
    </row>
    <row r="11" spans="1:2" x14ac:dyDescent="0.2">
      <c r="A11" s="26"/>
      <c r="B11" s="43" t="s">
        <v>64</v>
      </c>
    </row>
    <row r="12" spans="1:2" x14ac:dyDescent="0.2">
      <c r="A12" s="26"/>
      <c r="B12" s="43" t="s">
        <v>65</v>
      </c>
    </row>
    <row r="13" spans="1:2" x14ac:dyDescent="0.2">
      <c r="A13" s="26"/>
      <c r="B13" s="26" t="s">
        <v>43</v>
      </c>
    </row>
    <row r="14" spans="1:2" x14ac:dyDescent="0.2">
      <c r="A14" s="26"/>
      <c r="B14" s="26" t="s">
        <v>50</v>
      </c>
    </row>
    <row r="15" spans="1:2" x14ac:dyDescent="0.2">
      <c r="A15" s="26"/>
      <c r="B15" s="26" t="s">
        <v>28</v>
      </c>
    </row>
    <row r="16" spans="1:2" x14ac:dyDescent="0.2">
      <c r="A16" s="26"/>
      <c r="B16" s="26" t="s">
        <v>49</v>
      </c>
    </row>
    <row r="17" spans="1:2" x14ac:dyDescent="0.2">
      <c r="A17" s="26"/>
      <c r="B17" s="26"/>
    </row>
    <row r="18" spans="1:2" x14ac:dyDescent="0.2">
      <c r="A18" s="26" t="s">
        <v>21</v>
      </c>
      <c r="B18" s="26" t="s">
        <v>23</v>
      </c>
    </row>
    <row r="19" spans="1:2" x14ac:dyDescent="0.2">
      <c r="A19" s="26"/>
      <c r="B19" s="26" t="s">
        <v>51</v>
      </c>
    </row>
    <row r="20" spans="1:2" x14ac:dyDescent="0.2">
      <c r="A20" s="26"/>
      <c r="B20" s="26" t="s">
        <v>24</v>
      </c>
    </row>
    <row r="21" spans="1:2" x14ac:dyDescent="0.2">
      <c r="A21" s="26"/>
      <c r="B21" s="26"/>
    </row>
    <row r="22" spans="1:2" x14ac:dyDescent="0.2">
      <c r="A22" s="26" t="s">
        <v>26</v>
      </c>
      <c r="B22" s="26" t="s">
        <v>22</v>
      </c>
    </row>
    <row r="23" spans="1:2" x14ac:dyDescent="0.2">
      <c r="B23" s="26" t="s">
        <v>52</v>
      </c>
    </row>
    <row r="24" spans="1:2" x14ac:dyDescent="0.2">
      <c r="B24" s="26" t="s">
        <v>53</v>
      </c>
    </row>
    <row r="25" spans="1:2" x14ac:dyDescent="0.2">
      <c r="B25" s="26" t="s">
        <v>27</v>
      </c>
    </row>
    <row r="26" spans="1:2" x14ac:dyDescent="0.2">
      <c r="B26" s="26" t="s">
        <v>54</v>
      </c>
    </row>
    <row r="27" spans="1:2" x14ac:dyDescent="0.2">
      <c r="B27" s="26" t="s">
        <v>55</v>
      </c>
    </row>
    <row r="28" spans="1:2" x14ac:dyDescent="0.2">
      <c r="B28" s="26" t="s">
        <v>62</v>
      </c>
    </row>
    <row r="29" spans="1:2" x14ac:dyDescent="0.2">
      <c r="B29" s="26" t="s">
        <v>60</v>
      </c>
    </row>
    <row r="30" spans="1:2" x14ac:dyDescent="0.2">
      <c r="B30" s="26" t="s">
        <v>61</v>
      </c>
    </row>
    <row r="31" spans="1:2" x14ac:dyDescent="0.2">
      <c r="B31" s="26" t="s">
        <v>29</v>
      </c>
    </row>
    <row r="32" spans="1:2" x14ac:dyDescent="0.2">
      <c r="B32" s="26" t="s">
        <v>25</v>
      </c>
    </row>
    <row r="34" spans="1:2" x14ac:dyDescent="0.2">
      <c r="A34" s="26" t="s">
        <v>33</v>
      </c>
      <c r="B34" s="26" t="s">
        <v>30</v>
      </c>
    </row>
    <row r="35" spans="1:2" x14ac:dyDescent="0.2">
      <c r="A35" s="26"/>
      <c r="B35" s="26" t="s">
        <v>56</v>
      </c>
    </row>
    <row r="36" spans="1:2" x14ac:dyDescent="0.2">
      <c r="B36" s="26" t="s">
        <v>57</v>
      </c>
    </row>
    <row r="37" spans="1:2" x14ac:dyDescent="0.2">
      <c r="B37" s="26" t="s">
        <v>58</v>
      </c>
    </row>
    <row r="38" spans="1:2" x14ac:dyDescent="0.2">
      <c r="B38" t="s">
        <v>59</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2</vt:i4>
      </vt:variant>
      <vt:variant>
        <vt:lpstr>Plages nommées</vt:lpstr>
      </vt:variant>
      <vt:variant>
        <vt:i4>3</vt:i4>
      </vt:variant>
    </vt:vector>
  </HeadingPairs>
  <TitlesOfParts>
    <vt:vector size="5" baseType="lpstr">
      <vt:lpstr>Cas</vt:lpstr>
      <vt:lpstr>Instructions</vt:lpstr>
      <vt:lpstr>Date_correction</vt:lpstr>
      <vt:lpstr>Date_test</vt:lpstr>
      <vt:lpstr>Debut_effacer</vt:lpstr>
    </vt:vector>
  </TitlesOfParts>
  <Company>Vertisoft inc.</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clagace</dc:creator>
  <cp:lastModifiedBy>Samuel</cp:lastModifiedBy>
  <cp:lastPrinted>2009-03-21T16:40:21Z</cp:lastPrinted>
  <dcterms:created xsi:type="dcterms:W3CDTF">2008-03-13T20:04:11Z</dcterms:created>
  <dcterms:modified xsi:type="dcterms:W3CDTF">2016-12-09T22:03:38Z</dcterms:modified>
</cp:coreProperties>
</file>