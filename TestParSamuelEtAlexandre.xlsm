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Samuel\Desktop\CourseBenthique\"/>
    </mc:Choice>
  </mc:AlternateContent>
  <bookViews>
    <workbookView xWindow="0" yWindow="0" windowWidth="25200" windowHeight="11985"/>
  </bookViews>
  <sheets>
    <sheet name="Cas" sheetId="1" r:id="rId1"/>
    <sheet name="Instructions" sheetId="2" r:id="rId2"/>
  </sheets>
  <definedNames>
    <definedName name="Date_correction">Cas!$M$7</definedName>
    <definedName name="Date_test">Cas!$H$7</definedName>
    <definedName name="Debut_effacer">Cas!$F$7</definedName>
  </definedNames>
  <calcPr calcId="152511"/>
</workbook>
</file>

<file path=xl/calcChain.xml><?xml version="1.0" encoding="utf-8"?>
<calcChain xmlns="http://schemas.openxmlformats.org/spreadsheetml/2006/main">
  <c r="G1" i="1" l="1"/>
  <c r="G2" i="1" l="1"/>
  <c r="G3" i="1"/>
  <c r="G4" i="1" s="1"/>
</calcChain>
</file>

<file path=xl/sharedStrings.xml><?xml version="1.0" encoding="utf-8"?>
<sst xmlns="http://schemas.openxmlformats.org/spreadsheetml/2006/main" count="1120" uniqueCount="478">
  <si>
    <t>Score :</t>
  </si>
  <si>
    <t>X dev</t>
  </si>
  <si>
    <t>Corrections initiales :</t>
  </si>
  <si>
    <t>Reste à corriger :</t>
  </si>
  <si>
    <t>Corr. par</t>
  </si>
  <si>
    <t>Nom-Commentaires</t>
  </si>
  <si>
    <t>Date correction</t>
  </si>
  <si>
    <t>Résultat attendu</t>
  </si>
  <si>
    <t>Testé par</t>
  </si>
  <si>
    <t>Cas d'essai</t>
  </si>
  <si>
    <t>Date test</t>
  </si>
  <si>
    <t>FIN</t>
  </si>
  <si>
    <t>Tests fonctionnels</t>
  </si>
  <si>
    <r>
      <t xml:space="preserve">Gravité 
</t>
    </r>
    <r>
      <rPr>
        <sz val="8"/>
        <color indexed="9"/>
        <rFont val="Arial"/>
        <family val="2"/>
      </rPr>
      <t>1-essent.
2-import.
3-utile</t>
    </r>
  </si>
  <si>
    <r>
      <rPr>
        <sz val="8"/>
        <color theme="0"/>
        <rFont val="Arial"/>
        <family val="2"/>
      </rPr>
      <t>Chq ligne doit avoir un no pour le tri</t>
    </r>
    <r>
      <rPr>
        <b/>
        <sz val="10"/>
        <color theme="0"/>
        <rFont val="Arial"/>
        <family val="2"/>
      </rPr>
      <t xml:space="preserve">
# cas</t>
    </r>
  </si>
  <si>
    <t>Projet</t>
  </si>
  <si>
    <t>Utilisation du chiffrier de tests fonctionnels</t>
  </si>
  <si>
    <t>1.</t>
  </si>
  <si>
    <t>2.</t>
  </si>
  <si>
    <t>3.</t>
  </si>
  <si>
    <t xml:space="preserve">Quand le développement est complété, le responsable de la qualité reprend le chiffrier et refait les tests. </t>
  </si>
  <si>
    <t>Les développeurs partagent un seul et même fichier.</t>
  </si>
  <si>
    <t>Au besoin, ils ajoutent des cas d'essais.</t>
  </si>
  <si>
    <t>Il remet ensuite le chiffrier aux développeurs.</t>
  </si>
  <si>
    <t>4.</t>
  </si>
  <si>
    <t>Il peut entrer un niveau de gravité pour permettre aux développeurs de prioriser les corrections qu'ils effectueront.</t>
  </si>
  <si>
    <t>Il peut entrer un code pour identifier le métier touché par le cas d'essai (ex : intégrateur ou programmeur). Cette colonne peut également servir à identifier une équipe de travail.</t>
  </si>
  <si>
    <t>Le nombre de cas d'essais réussis par rapport au nombre de cas d'essais total donne le score en haut du chiffrier.</t>
  </si>
  <si>
    <t>Le développeur qui doit effectuer des corrections peut trier le chiffrier selon son métier ou selon la priorité pour retrouver plus rapidement ce qu'il doit faire.</t>
  </si>
  <si>
    <r>
      <t xml:space="preserve">Métier
</t>
    </r>
    <r>
      <rPr>
        <sz val="8"/>
        <color indexed="9"/>
        <rFont val="Arial"/>
        <family val="2"/>
      </rPr>
      <t>p-prog
i-intégr
g-graph</t>
    </r>
  </si>
  <si>
    <r>
      <t xml:space="preserve">Version à tester
</t>
    </r>
    <r>
      <rPr>
        <sz val="8"/>
        <color theme="0"/>
        <rFont val="Arial"/>
        <family val="2"/>
      </rPr>
      <t>1-en dév. (local)
2-en dév. (en ligne)
3-en prod.</t>
    </r>
  </si>
  <si>
    <t>5.</t>
  </si>
  <si>
    <t>admin :</t>
  </si>
  <si>
    <t>normal :</t>
  </si>
  <si>
    <t>URL dév. :</t>
  </si>
  <si>
    <t>URL prod. :</t>
  </si>
  <si>
    <t xml:space="preserve">Avant le début du développement, l'analyste remplit les colonnes « Cas d'essai » et « Résultat attendu ». </t>
  </si>
  <si>
    <t>Il peut arriver que certains cas d'essais ne s'appliquent qu'à une version du site.  À ce moment, il inscrit le code correspondant dans la colonne « Version à tester ».</t>
  </si>
  <si>
    <t xml:space="preserve">Les cases colorées dans l'entête de la feuille « Cas » doit être correctement remplies : </t>
  </si>
  <si>
    <t xml:space="preserve">code d'usager et mot de passe admin (en dév.), </t>
  </si>
  <si>
    <t>code d'usager et mot de passe d'un usager normal (en dév.).</t>
  </si>
  <si>
    <t xml:space="preserve">nom du projet, </t>
  </si>
  <si>
    <t xml:space="preserve">URL du site en développement et en production, </t>
  </si>
  <si>
    <t>Il remet ensuite le fichier aux développeurs.</t>
  </si>
  <si>
    <t>Si la grille comprend déjà des cas d'essais et que certains ne s'appliquent pas au projet en cours, il entre « na » dans la colonne « Résultat obtenu ». La ligne devient grisée et n'est pas prise en compte dans les calculs du score.</t>
  </si>
  <si>
    <t xml:space="preserve">Pour chaque test fait pendant le développement, chacun entre un X dans la colonne « X dev ». </t>
  </si>
  <si>
    <t>Dans la colonne "Résultat obtenu", il inscrit « ok » si le test a réussi.</t>
  </si>
  <si>
    <t>Si le test a échoué, il décrit le problème dans la colonne « Résultat obtenu ».</t>
  </si>
  <si>
    <t>Il peut également ajouter des impressions d'écran dans un autre onglet du chiffrier et y référer à l'aide d'un code à son choix entré dans la colonne « Imp. Ecran? ».</t>
  </si>
  <si>
    <t>Il entre ensuite ses initiales dans la colonne « Testé par ». Les cas d'essais qui ne sont pas marqués par « ok » ni par « na » seront mis en couleur.</t>
  </si>
  <si>
    <t>Il effectue les corrections et entre au besoin ses commentaires dans la colonne « Nom-commentaire ». Il ne modifie pas la colonne « Résultat obtenu ».</t>
  </si>
  <si>
    <t>Il entre ensuite ses initiales dans la colonne « Corr. Par ». Les lignes en couleur redeviennent normales.</t>
  </si>
  <si>
    <t xml:space="preserve">Quand toutes ses corrections de la journée sont complétées, il peut cliquer sur le bouton « Date du jour » au-dessus de la colonne « Date correction ». </t>
  </si>
  <si>
    <t>La date du jour sera entrée sur chaque ligne dont la date de correction est vide et qui comporte des initiales de correcteur.</t>
  </si>
  <si>
    <t>La date du jour sera entrée sur chaque ligne dont la date de test est vide et qui comporte des initiales de testeur.</t>
  </si>
  <si>
    <t>Une fois tous les tests complétés, il peut cliquer sur le bouton « Cacher ok » pour ne montrer que les cas d'essais en problème et les cas d'essais pour lesquels un test n'aurait pas encore été fait.</t>
  </si>
  <si>
    <t xml:space="preserve">Quand tous ses tests d'une journée sont complétés, il peut cliquer sur le bouton « Date du jour » au-dessus de la colonne « Date test ». </t>
  </si>
  <si>
    <t>Le chiffrier prévoit la renumérotation dles cas d'essais à la suite d'ajout de lignes grâce à la fonctionnalité de série de données :</t>
  </si>
  <si>
    <t xml:space="preserve">Prenez en bloc les deux premières cellules de la colonne A d'une section (ex : 070.010 et 070.020) puis faites glisser le coin inférieur droit jusqu'à la dernière ligne de la section, toujours dans la colonne A. </t>
  </si>
  <si>
    <t xml:space="preserve">Les numéros seront automatiquement réajustés. </t>
  </si>
  <si>
    <t>Nombre de cas d'essais :</t>
  </si>
  <si>
    <t>Testeur :</t>
  </si>
  <si>
    <t>Présence des boutons</t>
  </si>
  <si>
    <t>Apparences des boutons</t>
  </si>
  <si>
    <t>Écran d'accueil</t>
  </si>
  <si>
    <t>hover des boutons</t>
  </si>
  <si>
    <t>Clique bouton charger une partie</t>
  </si>
  <si>
    <t>Clique bouton crédits</t>
  </si>
  <si>
    <t>Apparences fond</t>
  </si>
  <si>
    <t>Le fond utilise la bonne couleur de bleu.</t>
  </si>
  <si>
    <t>Appuie touche tab</t>
  </si>
  <si>
    <t>Éléments bien centrer</t>
  </si>
  <si>
    <t>Présence dropdown</t>
  </si>
  <si>
    <t>options nombre de joueur</t>
  </si>
  <si>
    <t>options difficultés de partie</t>
  </si>
  <si>
    <t>Clique bouton retour</t>
  </si>
  <si>
    <t>Clique bouton débuter SI info pas entrer.</t>
  </si>
  <si>
    <t>Clique bouton débuter SI info entrer.</t>
  </si>
  <si>
    <t>L'écran du jeu s'ouvrira.</t>
  </si>
  <si>
    <t>Choix nombre joueur</t>
  </si>
  <si>
    <t>Passer de 3 à 2 joueurs</t>
  </si>
  <si>
    <t>Passer de 4 à 2 joueurs</t>
  </si>
  <si>
    <t>Passer de 4 à 3 joueurs</t>
  </si>
  <si>
    <t>Le nombre de textbox afficher change correctement.</t>
  </si>
  <si>
    <t>Passer de 0 à 2 joueurs.</t>
  </si>
  <si>
    <t>Passer de 0 à 3 joueurs.</t>
  </si>
  <si>
    <t>Passer de 0 à 4 joueurs.</t>
  </si>
  <si>
    <t>Passer de 2 à 3 joueurs.</t>
  </si>
  <si>
    <t>Passer de 2 à 4 joueurs.</t>
  </si>
  <si>
    <t>Passer de 3 à 4 joueurs.</t>
  </si>
  <si>
    <t>Pas possible d'entrer de lettre dans âge.</t>
  </si>
  <si>
    <t>Il n'est pas possible d'entrer des lettres dans les textbox d'âge.</t>
  </si>
  <si>
    <t>Pop-up</t>
  </si>
  <si>
    <t>Présence du 'X' pour enlever le pop-up</t>
  </si>
  <si>
    <t>Chaque pop-up est beau, centre, et sans barre de scroll.</t>
  </si>
  <si>
    <t>Un 'X' est présent pour supprimer le pop-up.</t>
  </si>
  <si>
    <t>Police</t>
  </si>
  <si>
    <t>Passer le tour</t>
  </si>
  <si>
    <t>Clique sur passe le tour.</t>
  </si>
  <si>
    <t>Le clique pour passer le tour change les points ressources et pivote le plateau. La main du joueur est aussi afficher</t>
  </si>
  <si>
    <t>pivotement</t>
  </si>
  <si>
    <t>Écran de jeu principal</t>
  </si>
  <si>
    <t>Présence des boutons passer le tour, options, règles.</t>
  </si>
  <si>
    <t>L'apparence des boutons est le même que le site internet et que sur les différentes page d'accueil.</t>
  </si>
  <si>
    <t>Le hover des boutons change l'apparence comme sur leur site web ou les différentes page d'accueil.</t>
  </si>
  <si>
    <t>Dépendant du nombre de joueur, les bon noms et le bon nombre d'équipe est afficher pour chaque équipe.</t>
  </si>
  <si>
    <t>Nom à droite</t>
  </si>
  <si>
    <t>Plateau de jeu bien afficher</t>
  </si>
  <si>
    <t>Le plateau de jeu est mis au centre et est bien afficher.</t>
  </si>
  <si>
    <t>Main à gauche</t>
  </si>
  <si>
    <t>La main du jouer actif est bien afficher.</t>
  </si>
  <si>
    <t>Curseurs</t>
  </si>
  <si>
    <t>Hover sur un élément cliquable</t>
  </si>
  <si>
    <t>Un hover sur un élément cliquable change le curseur pour une main cliquable montrant que l'élément peut être cliquer.</t>
  </si>
  <si>
    <t>Hover sur un élément draggable</t>
  </si>
  <si>
    <t>Un hover sur un élément qui est draggable change le curseur pour mettre une main qui montre que l'élément peut se faire bouger.</t>
  </si>
  <si>
    <t>Hover sur un textbox</t>
  </si>
  <si>
    <t>Un hover sur un textbox change le curseur pour démontrer qu'il est possible d'écrire.</t>
  </si>
  <si>
    <t>Bouton désactiver</t>
  </si>
  <si>
    <t>L'apparence des différents boutons change lorsqu'il sont désactiver, exemple: lors du clique sur passer le tour, le bouton est désactiver quelques secondes.</t>
  </si>
  <si>
    <t>Drag une carte habitats</t>
  </si>
  <si>
    <t>drag dans une zone</t>
  </si>
  <si>
    <t>drag dans le fond bleu</t>
  </si>
  <si>
    <t>drag sur le plateau</t>
  </si>
  <si>
    <t>drag sur le coté d'un ennemi</t>
  </si>
  <si>
    <t>drag dans la zone de droite</t>
  </si>
  <si>
    <t>drag et relacher dans la main</t>
  </si>
  <si>
    <t>Les cartes sur le plateau</t>
  </si>
  <si>
    <t>Il est possible de prendre une carte habitats et de la mettre sur une de nos zone.</t>
  </si>
  <si>
    <t>Lorsqu'on drag une carte habitat, nos zones deviennent highlights quand on a une carte habitats au dessus d'eux.</t>
  </si>
  <si>
    <t>hover avec une carte habitats sur nos zones</t>
  </si>
  <si>
    <t>La carte est remise dans la main à sa bonne place et elle est agrandi.</t>
  </si>
  <si>
    <t>La carte est remise dans la main à sa bonne place et elle est agrandi. Le bon pop-up est afficher.</t>
  </si>
  <si>
    <t>Animation</t>
  </si>
  <si>
    <t>Lorsque la carte est draguer, il y a une animation qui la raptisse.</t>
  </si>
  <si>
    <t>drag macro-invertébré</t>
  </si>
  <si>
    <t>Jouer sans les points</t>
  </si>
  <si>
    <t>Jouer avec les points</t>
  </si>
  <si>
    <t>Lorsqu'on joue une carte sans avoir les points, le pop-up est afficher et la carte es réagrandi et retourner dans sa main.</t>
  </si>
  <si>
    <t>Le bon nombre de points sont enlever et la carte est centrer dans sa position.</t>
  </si>
  <si>
    <t>empillage</t>
  </si>
  <si>
    <t>Si on joue une carte qui est déjà présente, les cartes vont automatiquement s'empiller.</t>
  </si>
  <si>
    <t>drag bande riveraine</t>
  </si>
  <si>
    <t>drag action</t>
  </si>
  <si>
    <t>drag perturbation</t>
  </si>
  <si>
    <t>cout ressources</t>
  </si>
  <si>
    <t>Pop-up si nous manquons de points de ressources.</t>
  </si>
  <si>
    <t>Hover</t>
  </si>
  <si>
    <t>Il y a un highlight qui apparais lorsqu'on survolle un emplacements ou on a le droti de mettre la carte.</t>
  </si>
  <si>
    <t>4 joueurs</t>
  </si>
  <si>
    <t>3 joueurs</t>
  </si>
  <si>
    <t>2 joueurs</t>
  </si>
  <si>
    <t>Le drag n'a pas de problèmes à 2 joueurs</t>
  </si>
  <si>
    <t>Le drag n'a pas de problèmes à 3 joueurs</t>
  </si>
  <si>
    <t>Le drag n'a pas de problèmes à 4 joueurs</t>
  </si>
  <si>
    <t>Couts en ressources</t>
  </si>
  <si>
    <t>Le couts en ressoruces est bien enlever et il n'est pas possible de jouer une care perturbation si le couts en ressources est supérieur au points de ressources restant.</t>
  </si>
  <si>
    <t>Jouer érosion</t>
  </si>
  <si>
    <t>Jouer pollution organique</t>
  </si>
  <si>
    <t>Jouer déversement</t>
  </si>
  <si>
    <t>Jouer artificialisation</t>
  </si>
  <si>
    <t>Érosion se joue directement sur le plateau peu importe la position.</t>
  </si>
  <si>
    <t>Jouer dechets</t>
  </si>
  <si>
    <t>Dechets se joue seulement sur un habitats.</t>
  </si>
  <si>
    <t>Artificialisation se joue seulement sur une bande riveraine.</t>
  </si>
  <si>
    <t>Jouer Passage de tout-terrain</t>
  </si>
  <si>
    <t>Le passage de tout-terrain se joue seulement sur un habitats.</t>
  </si>
  <si>
    <t>Nombre de tour passage de tout-terrain</t>
  </si>
  <si>
    <t>L'effet perturber et la carte passage de tout-terrain reste seulement 1 tour.</t>
  </si>
  <si>
    <t>Macroinvertébrés mourrant</t>
  </si>
  <si>
    <t>Les macroinvertébrés qui ont besoin d'un habitats mais que cette habitats est perturber meurt si l'habitats est toujours perturber à la fin du tour.</t>
  </si>
  <si>
    <t>Les habitats qui se font jouer une carte perturbation deviennent perturber et il n'est plus possible de les utiliser pour les conditions des macro-invertébrés.</t>
  </si>
  <si>
    <t>Effets perturber habitats</t>
  </si>
  <si>
    <t>Effets perturber bande riveraine.</t>
  </si>
  <si>
    <t>Les bandes riveraine perturber ne rapporte plus de points de ressources supplémentaire.</t>
  </si>
  <si>
    <t>maximum 8 habitats</t>
  </si>
  <si>
    <t>Il n'est pas possible d'avoir plus de 8 habitats sur son jeu.</t>
  </si>
  <si>
    <t>Couts en ressources correctement enlever</t>
  </si>
  <si>
    <t>Lorsqu'on joue un macroinvertébrés nous devons avoir le bon nombre de points ressources sinon un pop-up nous averti.</t>
  </si>
  <si>
    <t>Lorsqu'on joue un macroinvertébrés, le nombres de points ressources est correctement enlever.</t>
  </si>
  <si>
    <t>condition</t>
  </si>
  <si>
    <t>Macroinvertébrés prédateur</t>
  </si>
  <si>
    <t>Manger prédateur</t>
  </si>
  <si>
    <t>highlight</t>
  </si>
  <si>
    <t>Un highlight entoure les macroinvertébrés de taille inférieur.</t>
  </si>
  <si>
    <t>Zone cliquable</t>
  </si>
  <si>
    <t>Clique sur une carte non-macro</t>
  </si>
  <si>
    <t>Clique sur une carte de taille supérieur</t>
  </si>
  <si>
    <t>Un clique sur une carte qui n'est pas un macroinvertébrés affiche un pop-up.</t>
  </si>
  <si>
    <t>Un clique sur une carte de taille supérieur à notre prédateur affiche un pop-up</t>
  </si>
  <si>
    <t>Clique sur un macro de taille inférieur</t>
  </si>
  <si>
    <t>Tout les highlight s'en vont, la carte "manger" s'en va à la décharge et les zones de gauche et droite sont désormais utilisable.</t>
  </si>
  <si>
    <t>Calcul de points</t>
  </si>
  <si>
    <t>Le calcul de points est bien effectuer après avoir jouer une carte macro.</t>
  </si>
  <si>
    <t>le calcul de points est bien effectuer lorsque nous jouons un habitats.</t>
  </si>
  <si>
    <t>Jouer une carte zonage</t>
  </si>
  <si>
    <t>La carte zonage est jouable que sur le plateau</t>
  </si>
  <si>
    <t>pop-up</t>
  </si>
  <si>
    <t>La carte zonage affiche le premier pop-up pour dire de cliquer sur le premeir habitats de notre cotés.</t>
  </si>
  <si>
    <t>clique sur un habitats ennemi</t>
  </si>
  <si>
    <t>Un pop-up est afficher pour dire que nous devons d'abord cliquer sur un de nos habitats.</t>
  </si>
  <si>
    <t>Nos habitats sont highlight</t>
  </si>
  <si>
    <t>Clique sur notre habitats.</t>
  </si>
  <si>
    <t>Un 2e pop-up s'affiche  pour dire de cliquer sur la 2e carte habitats.</t>
  </si>
  <si>
    <t>Clique sur une carte non-habitats</t>
  </si>
  <si>
    <t>drag spéciale</t>
  </si>
  <si>
    <t>Un clique sur une carte non-habitats affiche un pop-up nous disant ce que nous devons faire.</t>
  </si>
  <si>
    <t>Highlight suite à un clique sur notre habitats</t>
  </si>
  <si>
    <t>Après avoir cliquer sur un de nos habitats, les highlight s'en vont et les habitats ennemi deviennent highlight.</t>
  </si>
  <si>
    <t>Clique sur habitats ennemi</t>
  </si>
  <si>
    <t>Un clique sur l'habitats ennemi échange les 2 habitats.</t>
  </si>
  <si>
    <t>Durant le procesus de zonage</t>
  </si>
  <si>
    <t>Durant le procesus de zonage, la zone de droite et la main n'est pas utilisable.</t>
  </si>
  <si>
    <t>Fin procesus de zonage</t>
  </si>
  <si>
    <t>à la fin du procesus de zonage, la zone de droite et la main sont de nouveau utilisable.</t>
  </si>
  <si>
    <t>Jouer carte accumulation</t>
  </si>
  <si>
    <t>Jouer la carte accumulation nous fais piger 3 cartes.</t>
  </si>
  <si>
    <t>Grossir la main</t>
  </si>
  <si>
    <t>Lorsque nous pigeons les 3 cartes et que notre main est pleine, la mains est grossi.</t>
  </si>
  <si>
    <t>Pris sur le fait</t>
  </si>
  <si>
    <t>La carte pris sur le fait est utilisable seulement lorsque quelqu'un joue une perturbation, un pop-up demande si le joueur désire utiliser sa carte pris sur le fait.</t>
  </si>
  <si>
    <t>Utilisation de la carte</t>
  </si>
  <si>
    <t>Si le joueur décide d'utiliser la carte pris sur le fait, la carte perturbation jouer retourne directement au cimetière en plus de la carte pris sur le fait et la carte perturbation n'a aucune effet.</t>
  </si>
  <si>
    <t>Jouer carte rétention</t>
  </si>
  <si>
    <t>Lorsque nous jouons la carte rétention, les points de ressources disponible à la fin du tour sont garder pour le prochain tour.</t>
  </si>
  <si>
    <t>Jouer sur plateau</t>
  </si>
  <si>
    <t>La carte rétention se joue seulement sur le plateau.</t>
  </si>
  <si>
    <t>Jouer sans avoir de points ressources.</t>
  </si>
  <si>
    <t>Lorsque nous jouons rétention et que nous avons pas de points ressources, un pop-up est afficher et nous ne pouvons pas jouer la carte.</t>
  </si>
  <si>
    <t xml:space="preserve">Samuel Brien, Alexandre Cloutier ET </t>
  </si>
  <si>
    <t>jouer carte prédation</t>
  </si>
  <si>
    <t>La carte prédation se joue seulement si nous possedons un prédateur et que notre adversaire possède un macroinvertébrés de taille inférieur à notre prédateur.</t>
  </si>
  <si>
    <t>Lorsque nous jouons la carte prédation, nos prédateur deviennent highlight.</t>
  </si>
  <si>
    <t>Clique sur notre prédateur</t>
  </si>
  <si>
    <t>Un clique sur notre prédateur enleve le highlight et rends les macro ennemis highlight.</t>
  </si>
  <si>
    <t>Pas possible de cliquer ailleurs</t>
  </si>
  <si>
    <t>Durant le procesus de prédation, la zone de droite et la main sont désactiver.</t>
  </si>
  <si>
    <t>Cliquer sur une carte non prédateur</t>
  </si>
  <si>
    <t>Un clique sur une carte non-prédateur affiche le pop-up nous disant quoi faire.</t>
  </si>
  <si>
    <t>Cliquer sur macro ennemi de taille inféfieur</t>
  </si>
  <si>
    <t>Le macro ennemi est envoyer à la décharger et il disparais du plateau.</t>
  </si>
  <si>
    <t>Clique sur une macro ennemi de taille supérieur</t>
  </si>
  <si>
    <t>Un clique sur un macro de taille supérieur affiche le pop-up nous disant la taille maximum que nous pouvons manger.</t>
  </si>
  <si>
    <t>Fin procesus de predation</t>
  </si>
  <si>
    <t>Lorsque la prédation est terminer, la zone de droite et la main fonctionnent de nouveau.</t>
  </si>
  <si>
    <t>Jouer carte dérivation</t>
  </si>
  <si>
    <t>La carte dérivation se joue seulement sur le plateau.</t>
  </si>
  <si>
    <t>Lorsque nous jouons la carte dérivation, un pop-up est afficher pour nous demander avec quel joueur nous voulons échanger notre main.</t>
  </si>
  <si>
    <t>Échange de main</t>
  </si>
  <si>
    <t>L'échange de main s'effectue correctement</t>
  </si>
  <si>
    <t>mise à la décharge</t>
  </si>
  <si>
    <t>Lorsque nous jouons dérivation, la carte est ensuite mise à la décharge.</t>
  </si>
  <si>
    <t>Jouer émergence</t>
  </si>
  <si>
    <t>La carte émergence se joue seulement sur le plateau.</t>
  </si>
  <si>
    <t>Condition émergence</t>
  </si>
  <si>
    <t>La carte se joue seulement si il y a au moins un macroinvertébré de l'un des type écrits sur la care.</t>
  </si>
  <si>
    <t>Lorsque l'on joue la carte, un pop-up est afficher nous demandant quel type de macro nous désirons retourner dans les mains de leurs propriétaires.</t>
  </si>
  <si>
    <t>type afficher</t>
  </si>
  <si>
    <t>Les seuls types afficher dans le pop-up sont les types qui sont présent sur le jeu.</t>
  </si>
  <si>
    <t>La carte est mise directement à la décharge lorsqu'elle est jouer.</t>
  </si>
  <si>
    <t>Retour dans les mains</t>
  </si>
  <si>
    <t>Le retour dans les mains des bon type fonctionnent et les mains sont grossi si elles dépassent la grosseur maximale (6)</t>
  </si>
  <si>
    <t>Jouer crue soudaine</t>
  </si>
  <si>
    <t>La carte se joue seulement sur le plateau</t>
  </si>
  <si>
    <t>Un popup est afficher nous demandant à qu'elle joueur nous désirons faire passer le tour.</t>
  </si>
  <si>
    <t>Le tour du joueur est correctement passer et un pop-up affiche la raison.</t>
  </si>
  <si>
    <t>Jouable sur le plateau</t>
  </si>
  <si>
    <t>Les cartes actions sont jouable seulement sur le plateau.</t>
  </si>
  <si>
    <t>condition corvée de nettoyage</t>
  </si>
  <si>
    <t>La carte ne se joue pas s'il n'y a pas de déchets en jeu.</t>
  </si>
  <si>
    <t>effets</t>
  </si>
  <si>
    <t>La carte supprime corectement tout les déchets, enlève le highlights et enlève l'état perturber à la donnée.</t>
  </si>
  <si>
    <t>Condition aménagement</t>
  </si>
  <si>
    <t>La carte se joue seulement si il y a une carte érosion qui a été jouer ou si il y a des habitats parmi les cartes intervention</t>
  </si>
  <si>
    <t>Un pop-up s'affiche donnant le choix de ce que nous voulons que la carte fasse.</t>
  </si>
  <si>
    <t>effet: annuler l'effet de la carte érosion</t>
  </si>
  <si>
    <t>La carte érosion est bien annuler, l'habitat transformer en sable redevient normal et la bande riveraine reviens.</t>
  </si>
  <si>
    <t>effet: choisir un habitat parmi les cartes intervention</t>
  </si>
  <si>
    <t>Un pop-up affichant toute les cartes habitats qui sont présente dans la pile d'intervention. Il nous suffit de cliquer dessus pour la prendre.</t>
  </si>
  <si>
    <t>La carte choisi s'en va dans notre main</t>
  </si>
  <si>
    <t>Il est possible de jouer la carte d'intervention choisi.</t>
  </si>
  <si>
    <t>condition naturalisation</t>
  </si>
  <si>
    <t>La carte se joue seulement si il y a une carte d'artificialisation ou si il y a des bandes riveraine parmi les cartes d'intervention.</t>
  </si>
  <si>
    <t>effet: anuller l'effet de la carte artificialisation.</t>
  </si>
  <si>
    <t>Si nous choissison cette effet, les cartes d'artificialisation s'illumine pour que nous puissions cliquer dessus et anuler l'effet.</t>
  </si>
  <si>
    <t>clique sur une autre carte.</t>
  </si>
  <si>
    <t>Un pop-up s'affiche pour nous dire que nous n'avons pas cliquer sur la bonne carte.</t>
  </si>
  <si>
    <t>effet: choisir une bande riveraine</t>
  </si>
  <si>
    <t>Un pop-up avec les bande riveraine disponible s'affiche pour nous donner le choix.</t>
  </si>
  <si>
    <t>la bande riveraine peut se jouer</t>
  </si>
  <si>
    <t>La bande riveraine qui est choisi est jouable.</t>
  </si>
  <si>
    <t>Jouer sur emplacement</t>
  </si>
  <si>
    <t>Les bandes riveraines sont jouable que sur notre emplacement sinon un pop-up s'affiche.</t>
  </si>
  <si>
    <t>Points donner par bande riveraine</t>
  </si>
  <si>
    <t>Le bon nombre de points additionel est afficher dans la zone de droite le tour suivant.</t>
  </si>
  <si>
    <t>max 3 bande riveraines</t>
  </si>
  <si>
    <t>Il n'est pas possible d'avoir plus de 3 bande riveraine en jeu.</t>
  </si>
  <si>
    <t>Sauvegarder</t>
  </si>
  <si>
    <t>Charger</t>
  </si>
  <si>
    <t>Désempilage</t>
  </si>
  <si>
    <t>Ré-empilage</t>
  </si>
  <si>
    <t>Déchets/artificialisation/passage de tout-terrain sur des cartes empilées</t>
  </si>
  <si>
    <t>Lorsque nous jouons une de ces perturbation sur des cartes empiler, Les cartes se désempile et notre carte de perturbation va dans un autre emplacement libre avec la carte perturber.</t>
  </si>
  <si>
    <t>ok</t>
  </si>
  <si>
    <t>x</t>
  </si>
  <si>
    <t>Non implémenter</t>
  </si>
  <si>
    <t>sb</t>
  </si>
  <si>
    <t>Pas de pop-up</t>
  </si>
  <si>
    <t>les cartes décrisse partout</t>
  </si>
  <si>
    <t>Le calcul ne fonctionne pas à 100% si ils sont empiler</t>
  </si>
  <si>
    <t>On peut en avoir plus que 8</t>
  </si>
  <si>
    <t>Le macroinvertébrés peut se jouer seulement si les conditions pour le jouer sont respecter, sinon un pop-up est afficher.</t>
  </si>
  <si>
    <t>Lorsqu'on joue une prédateur, il doit absolument y avoir un autre macroinvertébrés de taille inférieur sur le coté d'un ennemi.</t>
  </si>
  <si>
    <t>Un pop-up s'affiche nous disans que nous devons manger un macroinvertébrés de taille inférieur.</t>
  </si>
  <si>
    <t>La main est bloquer et le cotés droit aussi, nous pouvons seulement cliquer sur des cartes.</t>
  </si>
  <si>
    <t>Réparer le problème. Il vérifiais 2 fois les conditions.</t>
  </si>
  <si>
    <t>Le pop-up s'affiche mais la carte ne revert pas</t>
  </si>
  <si>
    <t>Une ligne de code n'étais plus la, erreur d'inentation ou de github, je les remis.</t>
  </si>
  <si>
    <t>Joueur pecheur</t>
  </si>
  <si>
    <t>La carte respecte les conditions</t>
  </si>
  <si>
    <t>non, la carte bug, on peut choissir l'effet même si il n'y a pas de salmonide en jeu.</t>
  </si>
  <si>
    <t>effet pecheur</t>
  </si>
  <si>
    <t>les 2 effets de pecheur fonctionne corectement</t>
  </si>
  <si>
    <t>Non l'effet de pecher le salmonide n'est pas encore terminer.</t>
  </si>
  <si>
    <t>Le pop-up n'est pas afficher</t>
  </si>
  <si>
    <t>pop-up pris sur le fait</t>
  </si>
  <si>
    <t>LE pop-up affiche les personne détenant la carte pris sur le fait et affiche un texte.</t>
  </si>
  <si>
    <t>Le texte n'est pas toujours afficher.</t>
  </si>
  <si>
    <t>Aucun joueur</t>
  </si>
  <si>
    <t>Si aucun joueur n'est choissi, la carte de perturbation à bel et bien lieu.</t>
  </si>
  <si>
    <t>condition érosion</t>
  </si>
  <si>
    <t>La carte d'érosion ne se joue pas si il y a pas de bande riveraine en jeu et au moins un habitats à transformet en sable</t>
  </si>
  <si>
    <t>effet d'enlever la bande riveraine</t>
  </si>
  <si>
    <t>effet de transformer en sable</t>
  </si>
  <si>
    <t>cliquer une fois l'érosion fini</t>
  </si>
  <si>
    <t>la bande riveraine cliquer va directement à la décharge</t>
  </si>
  <si>
    <t>L'habitats cliquer va à la décharge et un sable amenage est mis à sa place.</t>
  </si>
  <si>
    <t>Les cartes cliquer ne se transforme pas en sable une fois l'érosion terminer.</t>
  </si>
  <si>
    <t>Toute les cartes que nous cliquons par après sont transformer en sable.</t>
  </si>
  <si>
    <t>Le bug est règler, une fois l'érosion jouer, les cartes d'habitats ne se transforme plus en sable.</t>
  </si>
  <si>
    <t xml:space="preserve"> </t>
  </si>
  <si>
    <t>effet de transformer en sable quand empiler</t>
  </si>
  <si>
    <t>Lorsque nous transformons en sable et que les cartes sont empiler, nous devons seulement détruire la dernière et mettre le sable sur le prochain emplacement libre.</t>
  </si>
  <si>
    <t>Touts les habitats sont détruit et un sable est mis à sa place.</t>
  </si>
  <si>
    <t>Pollution organique se joue directement sur le plateau peu importe la position.</t>
  </si>
  <si>
    <t>Déversement se joue directement sur le plateau peu importe la position.</t>
  </si>
  <si>
    <t>Exemplaire</t>
  </si>
  <si>
    <t>2 carte identique dropper sur des emplacements différents</t>
  </si>
  <si>
    <t>2 carte identique droper l'une sur l'autre.</t>
  </si>
  <si>
    <t>La valeur dans le tableaux d'exemplaire est ok.</t>
  </si>
  <si>
    <t>Le nombre d'exemplaire ne marche pas et il affiche NaN à une des position</t>
  </si>
  <si>
    <t>La fonction étais déjà fais mais le nombre d'exemplaire avais des problèmes donc il ne pouvais jamais entrer dedans. De plus il y avais certain problème que j'ai règler.</t>
  </si>
  <si>
    <t>La fonction fonctionnais c'étais lié à un problème d'exemplaire.</t>
  </si>
  <si>
    <t>Le problème venais que le event ne changeais pas. Il changeais donc le nombre d'exemplaire à l'emplacement vide ou on voulais droper la carte avant qu'elle ne s'empile automatiquement.</t>
  </si>
  <si>
    <t>Apparence général</t>
  </si>
  <si>
    <t>Présence paquet carte</t>
  </si>
  <si>
    <t>Présente paquet intervention</t>
  </si>
  <si>
    <t>l'apparence est la lors de la création ou le chargement d'une partie.</t>
  </si>
  <si>
    <t>défausse</t>
  </si>
  <si>
    <t>La carte est afficher sur le dessus de la pile de défausse.</t>
  </si>
  <si>
    <t>minimum 4 cartes</t>
  </si>
  <si>
    <t>Plus de 6 cartes dans la main</t>
  </si>
  <si>
    <t>Plus de 5 cartes dans la main</t>
  </si>
  <si>
    <t>Plus de 4 cartes dans la main</t>
  </si>
  <si>
    <t>Cas 1</t>
  </si>
  <si>
    <t>Cas 2</t>
  </si>
  <si>
    <t>Cas 3</t>
  </si>
  <si>
    <t>Cas 4</t>
  </si>
  <si>
    <t>Échanger 2 carte qui ne sont pas empiler fonctionne</t>
  </si>
  <si>
    <t>Échanger 2 carte mais le paquet du joueur actif est empiler fonctionne, et la carte échanger est mis ailleurs.</t>
  </si>
  <si>
    <t>Échanger 2 carte mais le paquet du joueur ennemi est empiler fonctionne, et la carte échanger est mis ailleurs.</t>
  </si>
  <si>
    <t>Échanger 2 cartes et les 2 paquets sont empiler fonctionne, les cartes sont échanger et placer dans un autre emplacement vide.</t>
  </si>
  <si>
    <t xml:space="preserve">Cas 5 </t>
  </si>
  <si>
    <t xml:space="preserve">Cas 6 </t>
  </si>
  <si>
    <t>Lorsqu'on échange une carte que le joueur ennemi a déjà, la carte qu'il recois va s'empiler d'elle même et le nombre d'exemplaire est bien mis dans les données.</t>
  </si>
  <si>
    <t>Lorsqu'on échange une carte qu'on a déjà, la carte recu va s'empiler et elle est bien placer dans les donner et dans le nombre d'exemplaire.</t>
  </si>
  <si>
    <t>Sauvegarder sans titre</t>
  </si>
  <si>
    <t>Il n'est pas possible de sauvegarder su nous n'entrons pas de titre.</t>
  </si>
  <si>
    <t>Fichier se télécharge bien</t>
  </si>
  <si>
    <t>Lorsqu'il y a un titre, le fichier se télécharge et il est possible d'y accèder plus tard pour charger une partie.</t>
  </si>
  <si>
    <t>Charger un fichier modifier</t>
  </si>
  <si>
    <t>Lorsqu'on charge un fichier qui a mal été modifier, le programme ne plante pas et un simple message s'affiche pour nous avertir que la sauvegarde n'est pas bonne et qu'elle ne pourra pas être continuer.</t>
  </si>
  <si>
    <t>Charger un fichier qui n'est pas .jcb</t>
  </si>
  <si>
    <t>Il n'est pas possible de télécharger un fichier qui n'est pas de type fichier.jcb</t>
  </si>
  <si>
    <t>Charger une partie réussi</t>
  </si>
  <si>
    <t>Toute les cartes normals sont remis à leurs bonne place, le nombre d'exemplaire est changer et les perturbation sont ajouter.</t>
  </si>
  <si>
    <t xml:space="preserve">Continuer une partie </t>
  </si>
  <si>
    <t>Il est possible de continuer de jouer une partie qui viens d'être charger.</t>
  </si>
  <si>
    <t>polution organique</t>
  </si>
  <si>
    <t>Lorsqu'un habitats est perturber à cause de polution organique, les habitats qui étais empiler sont désempiler et seulement l'habitats désempiler est perturber.</t>
  </si>
  <si>
    <t>150.010</t>
  </si>
  <si>
    <t>À la fin de chaque tour</t>
  </si>
  <si>
    <t>Lorsqu'on annule une perturbation</t>
  </si>
  <si>
    <t>À la fin de chaque tour, les cartes qui ne reste pas perturber sotn déperturber, le highlight est retirer et elles sont réempiler si cela est possible.</t>
  </si>
  <si>
    <t>Lorsqu'on annule une effet de perturbation, la carte est réempiller si cela est possible.</t>
  </si>
  <si>
    <t>ac</t>
  </si>
  <si>
    <t>29 nov. 2016</t>
  </si>
  <si>
    <t>db</t>
  </si>
  <si>
    <t>pas encore fais</t>
  </si>
  <si>
    <t>Impr.
Écran
?</t>
  </si>
  <si>
    <t>Boutons nouvelle partie, charger une partie, options, crédits sont présents.</t>
  </si>
  <si>
    <r>
      <t xml:space="preserve">Résultat obtenu
</t>
    </r>
    <r>
      <rPr>
        <sz val="9"/>
        <color indexed="9"/>
        <rFont val="Arial"/>
        <family val="2"/>
      </rPr>
      <t>("OK", "na" pour non applicable ou description du problème)</t>
    </r>
  </si>
  <si>
    <t>OK</t>
  </si>
  <si>
    <t>Les boutons ont la même apparence que les boutons sur leurs sites web.</t>
  </si>
  <si>
    <t>Les boutons ont la même apparence que sur leurs sites web.</t>
  </si>
  <si>
    <t>Hover des boutons</t>
  </si>
  <si>
    <t>Les boutons changent de style lorsqu'on passer au-dessus d'eux pour avoir le même style que sur leurs pages web.</t>
  </si>
  <si>
    <t>Clic sur le bouton de nouvelle partie</t>
  </si>
  <si>
    <t>Le clic sur le bouton nous emmène à la page de création de parties.</t>
  </si>
  <si>
    <t>Le clic sur le bouton ouvre un explorateur pour choisir le fichier de sauvegarde voulu.</t>
  </si>
  <si>
    <t>Le clic sur le bouton crédits ouvre la page avec tous les crédits du jeu.</t>
  </si>
  <si>
    <t>L'apparence du logo</t>
  </si>
  <si>
    <t>Le logo est bien centré sur la page.</t>
  </si>
  <si>
    <t>Lorsqu'on appuie sur la touche TAB, les boutons changent de focus selon leurs ordres d'affichage.</t>
  </si>
  <si>
    <t>La police d'écriture est simple comme Time new roman, arial, etc.</t>
  </si>
  <si>
    <t>La police d'écriture est simple comme Time New Roman, arial, etc.</t>
  </si>
  <si>
    <t>Écran de création de parties</t>
  </si>
  <si>
    <t>Les boutons débutés et retours sont présents</t>
  </si>
  <si>
    <t>Les divers éléments sont bien centrés.</t>
  </si>
  <si>
    <t>Les dropdowns du nombre de joueur et de difficultés de partie sont présents</t>
  </si>
  <si>
    <t>Lors d'un clic sur le dropdown, nous pouvons sélectionner 2,3 ou 4 joueurs.</t>
  </si>
  <si>
    <t>Lors d'un clic sur le dropdown, nous pouvons sélectionner les 3 difficultés, facile, moyen et difficile.</t>
  </si>
  <si>
    <t>Lors d'un clic sur le bouton de retour, nous retournons à la page d'accueil.</t>
  </si>
  <si>
    <t>Un message rouge s'affiche pour décrire ce que nous avons oublié comme information.</t>
  </si>
  <si>
    <t>Lorsqu'on choisit 2,3 ou 4 joueurs, le bon nombre de textbox pour les nom et âge s'affiche.</t>
  </si>
  <si>
    <t>Passer de 4 à 0 joueur</t>
  </si>
  <si>
    <t>Passer de 3 à 0 joueur</t>
  </si>
  <si>
    <t>Passer de 2 à 0 joueur</t>
  </si>
  <si>
    <t>Chaque pop-up est bien affiché.</t>
  </si>
  <si>
    <t>Français</t>
  </si>
  <si>
    <t>Le pop-up est écrit en français et sans fautes.</t>
  </si>
  <si>
    <t>Fautes d'orthographe</t>
  </si>
  <si>
    <t>Corriger par Alexandre</t>
  </si>
  <si>
    <t>La police est simple comme Time New Roman, arial, etc.</t>
  </si>
  <si>
    <t>Le tableau pivote différemment dépendant du nombre de joueurs et leurs mains sont bien affichées.</t>
  </si>
  <si>
    <t>Pause lors du clic sur joueur suivant.</t>
  </si>
  <si>
    <t>Lorsqu'on clique sur le bouton passer le tour, il y a une petite pause qui nous empêche de "spam" le clique sur le bouton de passer le tour.</t>
  </si>
  <si>
    <t>Les cartes déjà présentes restent à leurs bonnes positions lorsqu'on passe notre tour.</t>
  </si>
  <si>
    <t>Il nous est demandé de défausser les cartes pour en avoir maximum 4.</t>
  </si>
  <si>
    <t>Pas possible de défausser pour avoir moins de 4 cartes.</t>
  </si>
  <si>
    <t>jouabilité</t>
  </si>
  <si>
    <t>Les nouvelles zones fonctionnent de la même manière que les anciennes zones. Elles sont simplement un ajout de place et il n'y a pas de problème.</t>
  </si>
  <si>
    <t xml:space="preserve">sb et ac </t>
  </si>
  <si>
    <t>CA MARCHE !!!!!!!!!!!!!!!!!!!!!!!!!!!!!!!!!!!!!!!!!!!!!!!!!!!!!!!!!!</t>
  </si>
  <si>
    <t>Jouer avec des habitats aménagé</t>
  </si>
  <si>
    <t>Les cartes se jouent correctement si une de leurs conditions est remplie par un habitats aménagé</t>
  </si>
  <si>
    <t>titre sur la main</t>
  </si>
  <si>
    <t>Le titre au dessus de la main est bien afficher pour montrer c'est le tour à qui</t>
  </si>
  <si>
    <t>Les noms des équipes sont ajoutersur le tableau</t>
  </si>
  <si>
    <t>fin après 8 tours</t>
  </si>
  <si>
    <t>à facile et à moyen, la fin du jeu survient après 8 tour et le message de fin est bien affiché.</t>
  </si>
  <si>
    <t>Correction des messages</t>
  </si>
  <si>
    <t>Il n'Y a plus d'erreurs dans les message et les mMacro … sont bien écrit,</t>
  </si>
  <si>
    <t>Lorsqu'on joue un macro-invertébré il est toujours demander de manger.</t>
  </si>
  <si>
    <t>tooltip</t>
  </si>
  <si>
    <t>le tooltip qui zoom les cartes ne déborde pas de l'écran.</t>
  </si>
  <si>
    <t>Les cartes qui ne remplissent pas les conditions ne disparaissent pas.</t>
  </si>
  <si>
    <t>Lorsqu'on joue une quête qui ne réponds pas à une condition, elle ne disparait pas.</t>
  </si>
  <si>
    <t>passage tout-terrain</t>
  </si>
  <si>
    <t>La carte disparais correctement après 1 tour et la carte qu'elle avais perturber ne disparais pas et se réempille si possible.</t>
  </si>
  <si>
    <t>boites qui permettent de sélectionner des cartes</t>
  </si>
  <si>
    <t>Tout les boites qui permettent de sélectionner une carte ne dépasse plus de l'écran.</t>
  </si>
  <si>
    <t>AC</t>
  </si>
  <si>
    <t>Certaine boite débordais.</t>
  </si>
  <si>
    <t>par défauts à 2 joueurs</t>
  </si>
  <si>
    <t>lors de la création de partie, le dropdown est mis par défauts sur 2 joueurs.</t>
  </si>
  <si>
    <t>Nous acceptons désormais les barre de scroll pour les règles.</t>
  </si>
  <si>
    <t>Nous avons règler un problème lorsque la conditions étais satisfaites par un habitats aménagé.</t>
  </si>
  <si>
    <t>Un petit problème survenais lorsque les cartes étais empiller.</t>
  </si>
  <si>
    <t>Le passage tout-terrain ne disparaisait pas, c'étais plutot la carte en dessous qui partait. Ce problème étais survenu lors d'ajout de code pour ajouter des zones.</t>
  </si>
  <si>
    <t>Nouveaux tests Testé par = coder par.</t>
  </si>
  <si>
    <t>sb et ac</t>
  </si>
  <si>
    <t>Cas 1 zonage</t>
  </si>
  <si>
    <t>Cas 2 zonage</t>
  </si>
  <si>
    <t>Cas 3 zonage</t>
  </si>
  <si>
    <t>la carte zonage fonctionne sur on échange avec une crate perturber et la carte perturber suit la carte lors de l'échange</t>
  </si>
  <si>
    <t>la carte zonage fonctionne si on échange notre carte perturber avec une carte normal et la carte perturber suit la carte lors de l'échange</t>
  </si>
  <si>
    <t>L'échange dezonage marche si les 2 cartes sont perturber et les cartes de perturbations suivent lors de l'échange.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</si>
</sst>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C0C]d\ mmm\ yyyy;@"/>
    <numFmt numFmtId="165" formatCode="000\.000"/>
  </numFmts>
  <fonts count="14" x14ac:knownFonts="1">
    <font>
      <sz val="10"/>
      <name val="Arial"/>
    </font>
    <font>
      <sz val="10"/>
      <name val="Arial"/>
      <family val="2"/>
    </font>
    <font>
      <sz val="8"/>
      <name val="Arial"/>
      <family val="2"/>
    </font>
    <font>
      <b/>
      <sz val="10"/>
      <name val="Arial"/>
      <family val="2"/>
    </font>
    <font>
      <i/>
      <sz val="10"/>
      <name val="Arial"/>
      <family val="2"/>
    </font>
    <font>
      <sz val="10"/>
      <name val="Arial"/>
      <family val="2"/>
    </font>
    <font>
      <sz val="9"/>
      <color indexed="9"/>
      <name val="Arial"/>
      <family val="2"/>
    </font>
    <font>
      <sz val="8"/>
      <color indexed="9"/>
      <name val="Arial"/>
      <family val="2"/>
    </font>
    <font>
      <b/>
      <sz val="10"/>
      <color theme="0"/>
      <name val="Arial"/>
      <family val="2"/>
    </font>
    <font>
      <sz val="8"/>
      <color theme="0"/>
      <name val="Arial"/>
      <family val="2"/>
    </font>
    <font>
      <b/>
      <sz val="12"/>
      <color theme="6" tint="-0.499984740745262"/>
      <name val="Arial"/>
      <family val="2"/>
    </font>
    <font>
      <sz val="10"/>
      <color theme="6" tint="-0.499984740745262"/>
      <name val="Arial"/>
      <family val="2"/>
    </font>
    <font>
      <sz val="9"/>
      <color rgb="FF000000"/>
      <name val="Arial"/>
      <family val="2"/>
    </font>
    <font>
      <b/>
      <sz val="10"/>
      <color theme="6" tint="-0.499984740745262"/>
      <name val="Arial"/>
      <family val="2"/>
    </font>
  </fonts>
  <fills count="5">
    <fill>
      <patternFill patternType="none"/>
    </fill>
    <fill>
      <patternFill patternType="gray125"/>
    </fill>
    <fill>
      <patternFill patternType="solid">
        <fgColor theme="6" tint="-0.249977111117893"/>
        <bgColor indexed="64"/>
      </patternFill>
    </fill>
    <fill>
      <patternFill patternType="solid">
        <fgColor rgb="FFF0EEE5"/>
        <bgColor indexed="64"/>
      </patternFill>
    </fill>
    <fill>
      <patternFill patternType="solid">
        <fgColor rgb="FFFFFF00"/>
        <bgColor indexed="64"/>
      </patternFill>
    </fill>
  </fills>
  <borders count="6">
    <border>
      <left/>
      <right/>
      <top/>
      <bottom/>
      <diagonal/>
    </border>
    <border>
      <left style="thin">
        <color indexed="22"/>
      </left>
      <right style="thin">
        <color indexed="22"/>
      </right>
      <top style="thin">
        <color indexed="22"/>
      </top>
      <bottom style="thin">
        <color indexed="22"/>
      </bottom>
      <diagonal/>
    </border>
    <border>
      <left/>
      <right/>
      <top/>
      <bottom style="thin">
        <color indexed="22"/>
      </bottom>
      <diagonal/>
    </border>
    <border>
      <left style="thin">
        <color theme="2" tint="-9.9948118533890809E-2"/>
      </left>
      <right style="thin">
        <color theme="2" tint="-9.9948118533890809E-2"/>
      </right>
      <top style="thin">
        <color theme="2" tint="-9.9948118533890809E-2"/>
      </top>
      <bottom style="thin">
        <color theme="2" tint="-9.9948118533890809E-2"/>
      </bottom>
      <diagonal/>
    </border>
    <border>
      <left style="thin">
        <color theme="2" tint="-9.9948118533890809E-2"/>
      </left>
      <right/>
      <top style="thin">
        <color theme="2" tint="-9.9948118533890809E-2"/>
      </top>
      <bottom style="thin">
        <color theme="2" tint="-9.9948118533890809E-2"/>
      </bottom>
      <diagonal/>
    </border>
    <border>
      <left/>
      <right style="thin">
        <color theme="2" tint="-9.9948118533890809E-2"/>
      </right>
      <top style="thin">
        <color theme="2" tint="-9.9948118533890809E-2"/>
      </top>
      <bottom style="thin">
        <color theme="2" tint="-9.9948118533890809E-2"/>
      </bottom>
      <diagonal/>
    </border>
  </borders>
  <cellStyleXfs count="2">
    <xf numFmtId="0" fontId="0" fillId="0" borderId="0"/>
    <xf numFmtId="9" fontId="1" fillId="0" borderId="0" applyFont="0" applyFill="0" applyBorder="0" applyAlignment="0" applyProtection="0"/>
  </cellStyleXfs>
  <cellXfs count="56">
    <xf numFmtId="0" fontId="0" fillId="0" borderId="0" xfId="0"/>
    <xf numFmtId="0" fontId="3" fillId="0" borderId="0" xfId="0" applyFont="1" applyAlignment="1">
      <alignment wrapText="1"/>
    </xf>
    <xf numFmtId="0" fontId="0" fillId="0" borderId="1" xfId="0" applyBorder="1" applyAlignment="1">
      <alignment vertical="top" wrapText="1"/>
    </xf>
    <xf numFmtId="164" fontId="0" fillId="0" borderId="0" xfId="0" applyNumberFormat="1" applyAlignment="1">
      <alignment horizontal="left"/>
    </xf>
    <xf numFmtId="0" fontId="0" fillId="0" borderId="0" xfId="0" applyAlignment="1">
      <alignment wrapText="1"/>
    </xf>
    <xf numFmtId="0" fontId="0" fillId="0" borderId="0" xfId="0" applyNumberFormat="1" applyAlignment="1">
      <alignment horizontal="left"/>
    </xf>
    <xf numFmtId="164" fontId="0" fillId="0" borderId="1" xfId="0" applyNumberFormat="1" applyBorder="1" applyAlignment="1">
      <alignment vertical="top" wrapText="1"/>
    </xf>
    <xf numFmtId="9" fontId="4" fillId="0" borderId="0" xfId="1" applyFont="1" applyAlignment="1">
      <alignment horizontal="left"/>
    </xf>
    <xf numFmtId="0" fontId="0" fillId="0" borderId="0" xfId="1" applyNumberFormat="1" applyFont="1" applyAlignment="1">
      <alignment horizontal="center"/>
    </xf>
    <xf numFmtId="0" fontId="0" fillId="0" borderId="0" xfId="0" applyAlignment="1">
      <alignment horizontal="center"/>
    </xf>
    <xf numFmtId="0" fontId="0" fillId="0" borderId="1" xfId="0" applyBorder="1" applyAlignment="1">
      <alignment horizontal="center" vertical="top" wrapText="1"/>
    </xf>
    <xf numFmtId="0" fontId="0" fillId="0" borderId="0" xfId="0" applyNumberFormat="1" applyAlignment="1">
      <alignment horizontal="center"/>
    </xf>
    <xf numFmtId="164" fontId="0" fillId="0" borderId="0" xfId="0" applyNumberFormat="1" applyAlignment="1">
      <alignment horizontal="center"/>
    </xf>
    <xf numFmtId="0" fontId="5" fillId="0" borderId="0" xfId="0" applyFont="1"/>
    <xf numFmtId="0" fontId="8" fillId="2" borderId="1" xfId="0" applyFont="1" applyFill="1" applyBorder="1" applyAlignment="1">
      <alignment wrapText="1"/>
    </xf>
    <xf numFmtId="0" fontId="8" fillId="2" borderId="1" xfId="0" applyFont="1" applyFill="1" applyBorder="1" applyAlignment="1">
      <alignment vertical="center" textRotation="180" wrapText="1"/>
    </xf>
    <xf numFmtId="0" fontId="8" fillId="2" borderId="1" xfId="0" applyFont="1" applyFill="1" applyBorder="1" applyAlignment="1">
      <alignment horizontal="center" wrapText="1"/>
    </xf>
    <xf numFmtId="164" fontId="8" fillId="2" borderId="1" xfId="0" applyNumberFormat="1" applyFont="1" applyFill="1" applyBorder="1" applyAlignment="1">
      <alignment horizontal="left" wrapText="1"/>
    </xf>
    <xf numFmtId="0" fontId="8" fillId="2" borderId="1" xfId="0" applyNumberFormat="1" applyFont="1" applyFill="1" applyBorder="1" applyAlignment="1">
      <alignment horizontal="left" wrapText="1"/>
    </xf>
    <xf numFmtId="0" fontId="8" fillId="2" borderId="1" xfId="0" applyNumberFormat="1" applyFont="1" applyFill="1" applyBorder="1" applyAlignment="1">
      <alignment horizontal="center" wrapText="1"/>
    </xf>
    <xf numFmtId="164" fontId="8" fillId="2" borderId="1" xfId="0" applyNumberFormat="1" applyFont="1" applyFill="1" applyBorder="1" applyAlignment="1">
      <alignment horizontal="center" wrapText="1"/>
    </xf>
    <xf numFmtId="0" fontId="5" fillId="0" borderId="1" xfId="0" applyFont="1" applyBorder="1" applyAlignment="1">
      <alignment vertical="top" wrapText="1"/>
    </xf>
    <xf numFmtId="0" fontId="5" fillId="0" borderId="1" xfId="0" applyFont="1" applyBorder="1" applyAlignment="1">
      <alignment horizontal="center" vertical="top" wrapText="1"/>
    </xf>
    <xf numFmtId="0" fontId="4" fillId="0" borderId="0" xfId="0" applyFont="1" applyAlignment="1">
      <alignment horizontal="left"/>
    </xf>
    <xf numFmtId="0" fontId="10" fillId="0" borderId="0" xfId="0" applyFont="1"/>
    <xf numFmtId="0" fontId="11" fillId="0" borderId="0" xfId="0" applyFont="1" applyAlignment="1">
      <alignment wrapText="1"/>
    </xf>
    <xf numFmtId="0" fontId="1" fillId="0" borderId="0" xfId="0" applyFont="1"/>
    <xf numFmtId="0" fontId="1" fillId="0" borderId="1" xfId="0" applyFont="1" applyBorder="1" applyAlignment="1">
      <alignment vertical="top" wrapText="1"/>
    </xf>
    <xf numFmtId="0" fontId="1" fillId="0" borderId="1" xfId="0" applyFont="1" applyBorder="1" applyAlignment="1">
      <alignment horizontal="center" vertical="top" wrapText="1"/>
    </xf>
    <xf numFmtId="165" fontId="5" fillId="0" borderId="1" xfId="0" applyNumberFormat="1" applyFont="1" applyBorder="1" applyAlignment="1">
      <alignment horizontal="left" vertical="top" wrapText="1"/>
    </xf>
    <xf numFmtId="165" fontId="1" fillId="0" borderId="1" xfId="0" applyNumberFormat="1" applyFont="1" applyBorder="1" applyAlignment="1">
      <alignment vertical="top" wrapText="1"/>
    </xf>
    <xf numFmtId="0" fontId="1" fillId="0" borderId="1" xfId="0" applyNumberFormat="1" applyFont="1" applyBorder="1" applyAlignment="1">
      <alignment vertical="top" wrapText="1"/>
    </xf>
    <xf numFmtId="0" fontId="4" fillId="0" borderId="0" xfId="0" applyFont="1" applyAlignment="1">
      <alignment horizontal="right"/>
    </xf>
    <xf numFmtId="0" fontId="4" fillId="0" borderId="0" xfId="1" applyNumberFormat="1" applyFont="1" applyAlignment="1">
      <alignment horizontal="right"/>
    </xf>
    <xf numFmtId="0" fontId="0" fillId="0" borderId="0" xfId="0" applyAlignment="1">
      <alignment horizontal="center" wrapText="1"/>
    </xf>
    <xf numFmtId="0" fontId="0" fillId="0" borderId="0" xfId="0" applyAlignment="1"/>
    <xf numFmtId="0" fontId="0" fillId="0" borderId="0" xfId="0" applyAlignment="1">
      <alignment horizontal="right"/>
    </xf>
    <xf numFmtId="0" fontId="1" fillId="0" borderId="0" xfId="0" applyFont="1" applyAlignment="1">
      <alignment horizontal="right"/>
    </xf>
    <xf numFmtId="0" fontId="0" fillId="0" borderId="0" xfId="0" applyAlignment="1">
      <alignment horizontal="right" wrapText="1"/>
    </xf>
    <xf numFmtId="0" fontId="0" fillId="0" borderId="2" xfId="0" applyBorder="1" applyAlignment="1"/>
    <xf numFmtId="0" fontId="0" fillId="0" borderId="2" xfId="0" applyBorder="1" applyAlignment="1">
      <alignment horizontal="left"/>
    </xf>
    <xf numFmtId="0" fontId="1" fillId="3" borderId="3" xfId="0" applyFont="1" applyFill="1" applyBorder="1" applyAlignment="1">
      <alignment horizontal="left"/>
    </xf>
    <xf numFmtId="0" fontId="10" fillId="0" borderId="0" xfId="0" applyFont="1" applyAlignment="1">
      <alignment vertical="center"/>
    </xf>
    <xf numFmtId="0" fontId="1" fillId="0" borderId="0" xfId="0" applyFont="1" applyAlignment="1">
      <alignment horizontal="left" indent="1"/>
    </xf>
    <xf numFmtId="0" fontId="1" fillId="0" borderId="0" xfId="0" applyNumberFormat="1" applyFont="1" applyAlignment="1">
      <alignment horizontal="right"/>
    </xf>
    <xf numFmtId="165" fontId="1" fillId="0" borderId="1" xfId="0" applyNumberFormat="1" applyFont="1" applyBorder="1" applyAlignment="1">
      <alignment horizontal="left" vertical="top" wrapText="1"/>
    </xf>
    <xf numFmtId="164" fontId="1" fillId="0" borderId="1" xfId="0" applyNumberFormat="1" applyFont="1" applyBorder="1" applyAlignment="1">
      <alignment vertical="top" wrapText="1"/>
    </xf>
    <xf numFmtId="165" fontId="5" fillId="4" borderId="1" xfId="0" applyNumberFormat="1" applyFont="1" applyFill="1" applyBorder="1" applyAlignment="1">
      <alignment horizontal="left" vertical="top" wrapText="1"/>
    </xf>
    <xf numFmtId="0" fontId="1" fillId="4" borderId="1" xfId="0" applyFont="1" applyFill="1" applyBorder="1" applyAlignment="1">
      <alignment vertical="top" wrapText="1"/>
    </xf>
    <xf numFmtId="0" fontId="0" fillId="4" borderId="1" xfId="0" applyFill="1" applyBorder="1" applyAlignment="1">
      <alignment horizontal="center" vertical="top" wrapText="1"/>
    </xf>
    <xf numFmtId="0" fontId="1" fillId="4" borderId="1" xfId="0" applyFont="1" applyFill="1" applyBorder="1" applyAlignment="1">
      <alignment horizontal="center" vertical="top" wrapText="1"/>
    </xf>
    <xf numFmtId="164" fontId="0" fillId="4" borderId="1" xfId="0" applyNumberFormat="1" applyFill="1" applyBorder="1" applyAlignment="1">
      <alignment vertical="top" wrapText="1"/>
    </xf>
    <xf numFmtId="0" fontId="0" fillId="4" borderId="1" xfId="0" applyFill="1" applyBorder="1" applyAlignment="1">
      <alignment vertical="top" wrapText="1"/>
    </xf>
    <xf numFmtId="164" fontId="1" fillId="4" borderId="1" xfId="0" applyNumberFormat="1" applyFont="1" applyFill="1" applyBorder="1" applyAlignment="1">
      <alignment vertical="top" wrapText="1"/>
    </xf>
    <xf numFmtId="0" fontId="13" fillId="3" borderId="4" xfId="0" applyFont="1" applyFill="1" applyBorder="1" applyAlignment="1">
      <alignment horizontal="left"/>
    </xf>
    <xf numFmtId="0" fontId="13" fillId="3" borderId="5" xfId="0" applyFont="1" applyFill="1" applyBorder="1" applyAlignment="1">
      <alignment horizontal="left"/>
    </xf>
  </cellXfs>
  <cellStyles count="2">
    <cellStyle name="Normal" xfId="0" builtinId="0"/>
    <cellStyle name="Pourcentage" xfId="1" builtinId="5"/>
  </cellStyles>
  <dxfs count="6">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ont>
        <b/>
        <i val="0"/>
        <condense val="0"/>
        <extend val="0"/>
      </font>
      <fill>
        <patternFill>
          <bgColor theme="6" tint="0.39994506668294322"/>
        </patternFill>
      </fill>
      <border>
        <left/>
        <right/>
        <top style="thin">
          <color indexed="64"/>
        </top>
        <bottom style="thin">
          <color indexed="64"/>
        </bottom>
      </border>
    </dxf>
    <dxf>
      <fill>
        <patternFill>
          <bgColor theme="5" tint="0.39994506668294322"/>
        </patternFill>
      </fill>
    </dxf>
    <dxf>
      <font>
        <strike val="0"/>
        <condense val="0"/>
        <extend val="0"/>
        <color indexed="22"/>
      </font>
    </dxf>
    <dxf>
      <fill>
        <patternFill>
          <bgColor theme="5" tint="0.39994506668294322"/>
        </patternFill>
      </fill>
    </dxf>
  </dxfs>
  <tableStyles count="0" defaultTableStyle="TableStyleMedium9" defaultPivotStyle="PivotStyleLight16"/>
  <colors>
    <mruColors>
      <color rgb="FFF0EEE5"/>
      <color rgb="FFFFFF66"/>
      <color rgb="FFB4C604"/>
      <color rgb="FF9FA3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38100</xdr:colOff>
          <xdr:row>6</xdr:row>
          <xdr:rowOff>57150</xdr:rowOff>
        </xdr:from>
        <xdr:to>
          <xdr:col>7</xdr:col>
          <xdr:colOff>800100</xdr:colOff>
          <xdr:row>6</xdr:row>
          <xdr:rowOff>257175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Date du jour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6</xdr:row>
          <xdr:rowOff>304800</xdr:rowOff>
        </xdr:from>
        <xdr:to>
          <xdr:col>12</xdr:col>
          <xdr:colOff>800100</xdr:colOff>
          <xdr:row>6</xdr:row>
          <xdr:rowOff>504825</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Date du jour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6</xdr:row>
          <xdr:rowOff>57150</xdr:rowOff>
        </xdr:from>
        <xdr:to>
          <xdr:col>5</xdr:col>
          <xdr:colOff>790575</xdr:colOff>
          <xdr:row>6</xdr:row>
          <xdr:rowOff>257175</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Cacher 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819150</xdr:colOff>
          <xdr:row>6</xdr:row>
          <xdr:rowOff>57150</xdr:rowOff>
        </xdr:from>
        <xdr:to>
          <xdr:col>5</xdr:col>
          <xdr:colOff>1581150</xdr:colOff>
          <xdr:row>6</xdr:row>
          <xdr:rowOff>257175</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Afficher tout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6</xdr:row>
          <xdr:rowOff>57150</xdr:rowOff>
        </xdr:from>
        <xdr:to>
          <xdr:col>0</xdr:col>
          <xdr:colOff>476250</xdr:colOff>
          <xdr:row>6</xdr:row>
          <xdr:rowOff>266700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6</xdr:row>
          <xdr:rowOff>57150</xdr:rowOff>
        </xdr:from>
        <xdr:to>
          <xdr:col>9</xdr:col>
          <xdr:colOff>457200</xdr:colOff>
          <xdr:row>6</xdr:row>
          <xdr:rowOff>266700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6</xdr:row>
          <xdr:rowOff>57150</xdr:rowOff>
        </xdr:from>
        <xdr:to>
          <xdr:col>12</xdr:col>
          <xdr:colOff>800100</xdr:colOff>
          <xdr:row>6</xdr:row>
          <xdr:rowOff>266700</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6</xdr:row>
          <xdr:rowOff>57150</xdr:rowOff>
        </xdr:from>
        <xdr:to>
          <xdr:col>10</xdr:col>
          <xdr:colOff>400050</xdr:colOff>
          <xdr:row>6</xdr:row>
          <xdr:rowOff>266700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1:N670"/>
  <sheetViews>
    <sheetView tabSelected="1" zoomScaleNormal="100" workbookViewId="0">
      <pane ySplit="7" topLeftCell="A260" activePane="bottomLeft" state="frozen"/>
      <selection pane="bottomLeft" activeCell="K238" sqref="K238"/>
    </sheetView>
  </sheetViews>
  <sheetFormatPr baseColWidth="10" defaultRowHeight="12.75" x14ac:dyDescent="0.2"/>
  <cols>
    <col min="1" max="1" width="10.140625" customWidth="1"/>
    <col min="2" max="2" width="29.28515625" style="4" customWidth="1"/>
    <col min="3" max="3" width="8.140625" style="34" customWidth="1"/>
    <col min="4" max="4" width="35.7109375" customWidth="1"/>
    <col min="5" max="5" width="3" customWidth="1"/>
    <col min="6" max="6" width="27.85546875" customWidth="1"/>
    <col min="7" max="7" width="6.140625" style="9" customWidth="1"/>
    <col min="8" max="8" width="12.28515625" style="3" customWidth="1"/>
    <col min="9" max="9" width="6.140625" style="9" customWidth="1"/>
    <col min="10" max="10" width="7.5703125" style="5" customWidth="1"/>
    <col min="11" max="11" width="6.42578125" style="11" customWidth="1"/>
    <col min="12" max="12" width="6.140625" style="12" customWidth="1"/>
    <col min="13" max="13" width="12.42578125" style="3" customWidth="1"/>
    <col min="14" max="14" width="28.28515625" customWidth="1"/>
    <col min="17" max="17" width="13.7109375" customWidth="1"/>
  </cols>
  <sheetData>
    <row r="1" spans="1:14" ht="15.75" x14ac:dyDescent="0.2">
      <c r="A1" s="42" t="s">
        <v>12</v>
      </c>
      <c r="B1" s="25"/>
      <c r="C1"/>
      <c r="E1" s="35"/>
      <c r="F1" s="44" t="s">
        <v>60</v>
      </c>
      <c r="G1" s="11">
        <f>COUNTA(D8:D336)</f>
        <v>198</v>
      </c>
      <c r="L1" s="9"/>
    </row>
    <row r="2" spans="1:14" x14ac:dyDescent="0.2">
      <c r="A2" s="54" t="s">
        <v>15</v>
      </c>
      <c r="B2" s="55"/>
      <c r="C2" s="36" t="s">
        <v>32</v>
      </c>
      <c r="D2" s="41"/>
      <c r="E2" s="35"/>
      <c r="F2" s="32" t="s">
        <v>0</v>
      </c>
      <c r="G2" s="7">
        <f>IF(COUNTA($F$8:$F$596)&gt;1,COUNTIF($F$8:$F$596,"ok")/(COUNTA($F$8:$F$596)-COUNTIF($F$8:$F$596,"na")),"---")</f>
        <v>0.91414141414141414</v>
      </c>
      <c r="I2" s="8"/>
      <c r="L2" s="9"/>
    </row>
    <row r="3" spans="1:14" x14ac:dyDescent="0.2">
      <c r="A3" s="26" t="s">
        <v>61</v>
      </c>
      <c r="B3" s="41" t="s">
        <v>229</v>
      </c>
      <c r="C3" s="36"/>
      <c r="D3" s="41"/>
      <c r="F3" s="33" t="s">
        <v>2</v>
      </c>
      <c r="G3" s="23">
        <f>COUNTA($F$8:$F$596)-COUNTIF($F$8:$F$596,"na")-COUNTIF($F$8:$F$596,"ok")</f>
        <v>17</v>
      </c>
      <c r="H3"/>
      <c r="I3"/>
      <c r="J3"/>
      <c r="L3" s="9"/>
    </row>
    <row r="4" spans="1:14" x14ac:dyDescent="0.2">
      <c r="A4" t="s">
        <v>34</v>
      </c>
      <c r="B4" s="41"/>
      <c r="C4" s="37" t="s">
        <v>33</v>
      </c>
      <c r="D4" s="41"/>
      <c r="E4" s="35"/>
      <c r="F4" s="33" t="s">
        <v>3</v>
      </c>
      <c r="G4" s="23">
        <f>G3-COUNTA(L8:L596)</f>
        <v>-5</v>
      </c>
      <c r="I4" s="8"/>
      <c r="L4" s="9"/>
    </row>
    <row r="5" spans="1:14" x14ac:dyDescent="0.2">
      <c r="A5" t="s">
        <v>35</v>
      </c>
      <c r="B5" s="41"/>
      <c r="C5" s="36"/>
      <c r="D5" s="41"/>
      <c r="E5" s="35"/>
    </row>
    <row r="6" spans="1:14" x14ac:dyDescent="0.2">
      <c r="A6" s="13"/>
      <c r="C6" s="38"/>
      <c r="D6" s="40"/>
      <c r="E6" s="39"/>
    </row>
    <row r="7" spans="1:14" s="1" customFormat="1" ht="81.75" x14ac:dyDescent="0.2">
      <c r="A7" s="14" t="s">
        <v>14</v>
      </c>
      <c r="B7" s="14" t="s">
        <v>9</v>
      </c>
      <c r="C7" s="16" t="s">
        <v>30</v>
      </c>
      <c r="D7" s="14" t="s">
        <v>7</v>
      </c>
      <c r="E7" s="15" t="s">
        <v>1</v>
      </c>
      <c r="F7" s="14" t="s">
        <v>401</v>
      </c>
      <c r="G7" s="16" t="s">
        <v>8</v>
      </c>
      <c r="H7" s="17" t="s">
        <v>10</v>
      </c>
      <c r="I7" s="16" t="s">
        <v>399</v>
      </c>
      <c r="J7" s="18" t="s">
        <v>13</v>
      </c>
      <c r="K7" s="19" t="s">
        <v>29</v>
      </c>
      <c r="L7" s="20" t="s">
        <v>4</v>
      </c>
      <c r="M7" s="17" t="s">
        <v>6</v>
      </c>
      <c r="N7" s="17" t="s">
        <v>5</v>
      </c>
    </row>
    <row r="8" spans="1:14" x14ac:dyDescent="0.2">
      <c r="A8" s="29">
        <v>10000</v>
      </c>
      <c r="B8" s="27" t="s">
        <v>64</v>
      </c>
      <c r="C8" s="10"/>
      <c r="D8" s="2"/>
      <c r="E8" s="2"/>
      <c r="F8" s="2"/>
      <c r="G8" s="10"/>
      <c r="H8" s="6"/>
      <c r="I8" s="10"/>
      <c r="J8" s="2"/>
      <c r="K8" s="10"/>
      <c r="L8" s="10"/>
      <c r="M8" s="6"/>
      <c r="N8" s="2"/>
    </row>
    <row r="9" spans="1:14" ht="25.5" x14ac:dyDescent="0.2">
      <c r="A9" s="29">
        <v>10010</v>
      </c>
      <c r="B9" s="27" t="s">
        <v>62</v>
      </c>
      <c r="C9" s="28"/>
      <c r="D9" s="27" t="s">
        <v>400</v>
      </c>
      <c r="E9" s="27" t="s">
        <v>304</v>
      </c>
      <c r="F9" s="27" t="s">
        <v>402</v>
      </c>
      <c r="G9" s="28" t="s">
        <v>306</v>
      </c>
      <c r="H9" s="6">
        <v>42703</v>
      </c>
      <c r="I9" s="10"/>
      <c r="J9" s="2"/>
      <c r="K9" s="10"/>
      <c r="L9" s="28"/>
      <c r="M9" s="6"/>
      <c r="N9" s="2"/>
    </row>
    <row r="10" spans="1:14" ht="25.5" x14ac:dyDescent="0.2">
      <c r="A10" s="29">
        <v>10020</v>
      </c>
      <c r="B10" s="27" t="s">
        <v>63</v>
      </c>
      <c r="C10" s="28"/>
      <c r="D10" s="27" t="s">
        <v>404</v>
      </c>
      <c r="E10" s="27" t="s">
        <v>304</v>
      </c>
      <c r="F10" s="30" t="s">
        <v>402</v>
      </c>
      <c r="G10" s="28" t="s">
        <v>306</v>
      </c>
      <c r="H10" s="6">
        <v>42703</v>
      </c>
      <c r="I10" s="10"/>
      <c r="J10" s="2"/>
      <c r="K10" s="28"/>
      <c r="L10" s="28"/>
      <c r="M10" s="6"/>
      <c r="N10" s="2"/>
    </row>
    <row r="11" spans="1:14" ht="38.25" x14ac:dyDescent="0.2">
      <c r="A11" s="29">
        <v>10030</v>
      </c>
      <c r="B11" s="27" t="s">
        <v>405</v>
      </c>
      <c r="C11" s="28"/>
      <c r="D11" s="27" t="s">
        <v>406</v>
      </c>
      <c r="E11" s="27" t="s">
        <v>304</v>
      </c>
      <c r="F11" s="30" t="s">
        <v>402</v>
      </c>
      <c r="G11" s="28" t="s">
        <v>306</v>
      </c>
      <c r="H11" s="6">
        <v>42703</v>
      </c>
      <c r="I11" s="10"/>
      <c r="J11" s="2"/>
      <c r="K11" s="28"/>
      <c r="L11" s="28"/>
      <c r="M11" s="6"/>
      <c r="N11" s="2"/>
    </row>
    <row r="12" spans="1:14" ht="25.5" x14ac:dyDescent="0.2">
      <c r="A12" s="29">
        <v>10040</v>
      </c>
      <c r="B12" s="27" t="s">
        <v>407</v>
      </c>
      <c r="C12" s="28"/>
      <c r="D12" s="27" t="s">
        <v>408</v>
      </c>
      <c r="E12" s="27" t="s">
        <v>304</v>
      </c>
      <c r="F12" s="30" t="s">
        <v>402</v>
      </c>
      <c r="G12" s="28" t="s">
        <v>306</v>
      </c>
      <c r="H12" s="6">
        <v>42703</v>
      </c>
      <c r="I12" s="10"/>
      <c r="J12" s="2"/>
      <c r="K12" s="28"/>
      <c r="L12" s="28"/>
      <c r="M12" s="6"/>
      <c r="N12" s="2"/>
    </row>
    <row r="13" spans="1:14" ht="38.25" x14ac:dyDescent="0.2">
      <c r="A13" s="29">
        <v>10050</v>
      </c>
      <c r="B13" s="27" t="s">
        <v>66</v>
      </c>
      <c r="C13" s="28"/>
      <c r="D13" s="27" t="s">
        <v>409</v>
      </c>
      <c r="E13" s="27" t="s">
        <v>304</v>
      </c>
      <c r="F13" s="30" t="s">
        <v>305</v>
      </c>
      <c r="G13" s="28" t="s">
        <v>306</v>
      </c>
      <c r="H13" s="6">
        <v>42703</v>
      </c>
      <c r="I13" s="10"/>
      <c r="J13" s="2"/>
      <c r="K13" s="28"/>
      <c r="L13" s="28" t="s">
        <v>395</v>
      </c>
      <c r="M13" s="6">
        <v>42710</v>
      </c>
      <c r="N13" s="2"/>
    </row>
    <row r="14" spans="1:14" ht="25.5" x14ac:dyDescent="0.2">
      <c r="A14" s="29">
        <v>10060</v>
      </c>
      <c r="B14" s="27" t="s">
        <v>67</v>
      </c>
      <c r="C14" s="28"/>
      <c r="D14" s="27" t="s">
        <v>410</v>
      </c>
      <c r="E14" s="27" t="s">
        <v>304</v>
      </c>
      <c r="F14" s="27" t="s">
        <v>305</v>
      </c>
      <c r="G14" s="28" t="s">
        <v>306</v>
      </c>
      <c r="H14" s="6">
        <v>42703</v>
      </c>
      <c r="I14" s="10"/>
      <c r="J14" s="2"/>
      <c r="K14" s="10"/>
      <c r="L14" s="28" t="s">
        <v>306</v>
      </c>
      <c r="M14" s="6">
        <v>42710</v>
      </c>
      <c r="N14" s="2"/>
    </row>
    <row r="15" spans="1:14" x14ac:dyDescent="0.2">
      <c r="A15" s="29">
        <v>10070</v>
      </c>
      <c r="B15" s="27" t="s">
        <v>411</v>
      </c>
      <c r="C15" s="28"/>
      <c r="D15" s="27" t="s">
        <v>412</v>
      </c>
      <c r="E15" s="27" t="s">
        <v>304</v>
      </c>
      <c r="F15" s="27" t="s">
        <v>402</v>
      </c>
      <c r="G15" s="28" t="s">
        <v>306</v>
      </c>
      <c r="H15" s="6">
        <v>42703</v>
      </c>
      <c r="I15" s="10"/>
      <c r="J15" s="2"/>
      <c r="K15" s="10"/>
      <c r="L15" s="28"/>
      <c r="M15" s="6"/>
      <c r="N15" s="2"/>
    </row>
    <row r="16" spans="1:14" x14ac:dyDescent="0.2">
      <c r="A16" s="29">
        <v>10080</v>
      </c>
      <c r="B16" s="27" t="s">
        <v>68</v>
      </c>
      <c r="C16" s="28"/>
      <c r="D16" s="27" t="s">
        <v>69</v>
      </c>
      <c r="E16" s="27" t="s">
        <v>304</v>
      </c>
      <c r="F16" s="27" t="s">
        <v>402</v>
      </c>
      <c r="G16" s="28" t="s">
        <v>306</v>
      </c>
      <c r="H16" s="6">
        <v>42703</v>
      </c>
      <c r="I16" s="10"/>
      <c r="J16" s="2"/>
      <c r="K16" s="10"/>
      <c r="L16" s="28"/>
      <c r="M16" s="6"/>
      <c r="N16" s="2"/>
    </row>
    <row r="17" spans="1:14" ht="38.25" x14ac:dyDescent="0.2">
      <c r="A17" s="29">
        <v>10090</v>
      </c>
      <c r="B17" s="27" t="s">
        <v>70</v>
      </c>
      <c r="C17" s="28"/>
      <c r="D17" s="27" t="s">
        <v>413</v>
      </c>
      <c r="E17" s="27" t="s">
        <v>304</v>
      </c>
      <c r="F17" s="27" t="s">
        <v>402</v>
      </c>
      <c r="G17" s="28" t="s">
        <v>306</v>
      </c>
      <c r="H17" s="6">
        <v>42703</v>
      </c>
      <c r="I17" s="10"/>
      <c r="J17" s="2"/>
      <c r="K17" s="10"/>
      <c r="L17" s="28"/>
      <c r="M17" s="6"/>
      <c r="N17" s="2"/>
    </row>
    <row r="18" spans="1:14" ht="25.5" x14ac:dyDescent="0.2">
      <c r="A18" s="29">
        <v>10100</v>
      </c>
      <c r="B18" s="27" t="s">
        <v>96</v>
      </c>
      <c r="C18" s="28"/>
      <c r="D18" s="27" t="s">
        <v>415</v>
      </c>
      <c r="E18" s="27" t="s">
        <v>304</v>
      </c>
      <c r="F18" s="27" t="s">
        <v>402</v>
      </c>
      <c r="G18" s="28" t="s">
        <v>306</v>
      </c>
      <c r="H18" s="6">
        <v>42703</v>
      </c>
      <c r="I18" s="10"/>
      <c r="J18" s="2"/>
      <c r="K18" s="10"/>
      <c r="L18" s="28"/>
      <c r="M18" s="6"/>
      <c r="N18" s="2"/>
    </row>
    <row r="19" spans="1:14" x14ac:dyDescent="0.2">
      <c r="A19" s="29">
        <v>20000</v>
      </c>
      <c r="B19" s="27" t="s">
        <v>416</v>
      </c>
      <c r="C19" s="28"/>
      <c r="D19" s="2"/>
      <c r="E19" s="2"/>
      <c r="F19" s="27"/>
      <c r="G19" s="28"/>
      <c r="H19" s="6"/>
      <c r="I19" s="10"/>
      <c r="J19" s="2"/>
      <c r="K19" s="10"/>
      <c r="L19" s="28"/>
      <c r="M19" s="6"/>
      <c r="N19" s="2"/>
    </row>
    <row r="20" spans="1:14" ht="25.5" x14ac:dyDescent="0.2">
      <c r="A20" s="29">
        <v>20010</v>
      </c>
      <c r="B20" s="27" t="s">
        <v>62</v>
      </c>
      <c r="C20" s="28"/>
      <c r="D20" s="27" t="s">
        <v>417</v>
      </c>
      <c r="E20" s="27" t="s">
        <v>304</v>
      </c>
      <c r="F20" s="27" t="s">
        <v>402</v>
      </c>
      <c r="G20" s="28" t="s">
        <v>306</v>
      </c>
      <c r="H20" s="6">
        <v>42703</v>
      </c>
      <c r="I20" s="10"/>
      <c r="J20" s="2"/>
      <c r="K20" s="10"/>
      <c r="L20" s="28"/>
      <c r="M20" s="6"/>
      <c r="N20" s="2"/>
    </row>
    <row r="21" spans="1:14" ht="25.5" x14ac:dyDescent="0.2">
      <c r="A21" s="29">
        <v>20020</v>
      </c>
      <c r="B21" s="27" t="s">
        <v>63</v>
      </c>
      <c r="C21" s="28"/>
      <c r="D21" s="27" t="s">
        <v>403</v>
      </c>
      <c r="E21" s="27" t="s">
        <v>304</v>
      </c>
      <c r="F21" s="27" t="s">
        <v>402</v>
      </c>
      <c r="G21" s="28" t="s">
        <v>306</v>
      </c>
      <c r="H21" s="6">
        <v>42703</v>
      </c>
      <c r="I21" s="10"/>
      <c r="J21" s="2"/>
      <c r="K21" s="10"/>
      <c r="L21" s="28"/>
      <c r="M21" s="6"/>
      <c r="N21" s="2"/>
    </row>
    <row r="22" spans="1:14" ht="38.25" x14ac:dyDescent="0.2">
      <c r="A22" s="29">
        <v>20030</v>
      </c>
      <c r="B22" s="27" t="s">
        <v>405</v>
      </c>
      <c r="C22" s="28"/>
      <c r="D22" s="27" t="s">
        <v>406</v>
      </c>
      <c r="E22" s="27" t="s">
        <v>304</v>
      </c>
      <c r="F22" s="27" t="s">
        <v>402</v>
      </c>
      <c r="G22" s="28" t="s">
        <v>306</v>
      </c>
      <c r="H22" s="6">
        <v>42703</v>
      </c>
      <c r="I22" s="10"/>
      <c r="J22" s="2"/>
      <c r="K22" s="10"/>
      <c r="L22" s="28"/>
      <c r="M22" s="6"/>
      <c r="N22" s="2"/>
    </row>
    <row r="23" spans="1:14" x14ac:dyDescent="0.2">
      <c r="A23" s="47">
        <v>20040</v>
      </c>
      <c r="B23" s="48" t="s">
        <v>71</v>
      </c>
      <c r="C23" s="49"/>
      <c r="D23" s="48" t="s">
        <v>418</v>
      </c>
      <c r="E23" s="48" t="s">
        <v>304</v>
      </c>
      <c r="F23" s="48" t="s">
        <v>402</v>
      </c>
      <c r="G23" s="50" t="s">
        <v>306</v>
      </c>
      <c r="H23" s="51">
        <v>42703</v>
      </c>
      <c r="I23" s="49"/>
      <c r="J23" s="52"/>
      <c r="K23" s="49"/>
      <c r="L23" s="50" t="s">
        <v>462</v>
      </c>
      <c r="M23" s="51">
        <v>42762</v>
      </c>
      <c r="N23" s="48" t="s">
        <v>463</v>
      </c>
    </row>
    <row r="24" spans="1:14" ht="25.5" x14ac:dyDescent="0.2">
      <c r="A24" s="29">
        <v>20050</v>
      </c>
      <c r="B24" s="27" t="s">
        <v>72</v>
      </c>
      <c r="C24" s="10"/>
      <c r="D24" s="27" t="s">
        <v>419</v>
      </c>
      <c r="E24" s="27" t="s">
        <v>304</v>
      </c>
      <c r="F24" s="27" t="s">
        <v>402</v>
      </c>
      <c r="G24" s="28" t="s">
        <v>306</v>
      </c>
      <c r="H24" s="6">
        <v>42703</v>
      </c>
      <c r="I24" s="10"/>
      <c r="J24" s="2"/>
      <c r="K24" s="10"/>
      <c r="L24" s="28"/>
      <c r="M24" s="6"/>
      <c r="N24" s="2"/>
    </row>
    <row r="25" spans="1:14" ht="25.5" x14ac:dyDescent="0.2">
      <c r="A25" s="29">
        <v>20060</v>
      </c>
      <c r="B25" s="27" t="s">
        <v>73</v>
      </c>
      <c r="C25" s="10"/>
      <c r="D25" s="27" t="s">
        <v>420</v>
      </c>
      <c r="E25" s="27" t="s">
        <v>304</v>
      </c>
      <c r="F25" s="27" t="s">
        <v>402</v>
      </c>
      <c r="G25" s="28" t="s">
        <v>306</v>
      </c>
      <c r="H25" s="6">
        <v>42703</v>
      </c>
      <c r="I25" s="10"/>
      <c r="J25" s="2"/>
      <c r="K25" s="10"/>
      <c r="L25" s="28"/>
      <c r="M25" s="6"/>
      <c r="N25" s="2"/>
    </row>
    <row r="26" spans="1:14" ht="38.25" x14ac:dyDescent="0.2">
      <c r="A26" s="29">
        <v>20070</v>
      </c>
      <c r="B26" s="27" t="s">
        <v>74</v>
      </c>
      <c r="C26" s="10"/>
      <c r="D26" s="27" t="s">
        <v>421</v>
      </c>
      <c r="E26" s="27" t="s">
        <v>304</v>
      </c>
      <c r="F26" s="27" t="s">
        <v>402</v>
      </c>
      <c r="G26" s="28" t="s">
        <v>306</v>
      </c>
      <c r="H26" s="6">
        <v>42703</v>
      </c>
      <c r="I26" s="10"/>
      <c r="J26" s="2"/>
      <c r="K26" s="10"/>
      <c r="L26" s="28"/>
      <c r="M26" s="6"/>
      <c r="N26" s="2"/>
    </row>
    <row r="27" spans="1:14" ht="25.5" x14ac:dyDescent="0.2">
      <c r="A27" s="29">
        <v>20080</v>
      </c>
      <c r="B27" s="27" t="s">
        <v>75</v>
      </c>
      <c r="C27" s="10"/>
      <c r="D27" s="27" t="s">
        <v>422</v>
      </c>
      <c r="E27" s="27" t="s">
        <v>304</v>
      </c>
      <c r="F27" s="27" t="s">
        <v>402</v>
      </c>
      <c r="G27" s="28" t="s">
        <v>306</v>
      </c>
      <c r="H27" s="6">
        <v>42703</v>
      </c>
      <c r="I27" s="10"/>
      <c r="J27" s="2"/>
      <c r="K27" s="10"/>
      <c r="L27" s="28"/>
      <c r="M27" s="6"/>
      <c r="N27" s="2"/>
    </row>
    <row r="28" spans="1:14" ht="38.25" x14ac:dyDescent="0.2">
      <c r="A28" s="29">
        <v>20090</v>
      </c>
      <c r="B28" s="27" t="s">
        <v>76</v>
      </c>
      <c r="C28" s="10"/>
      <c r="D28" s="27" t="s">
        <v>423</v>
      </c>
      <c r="E28" s="27" t="s">
        <v>304</v>
      </c>
      <c r="F28" s="27" t="s">
        <v>402</v>
      </c>
      <c r="G28" s="28" t="s">
        <v>306</v>
      </c>
      <c r="H28" s="6">
        <v>42703</v>
      </c>
      <c r="I28" s="10"/>
      <c r="J28" s="2"/>
      <c r="K28" s="10"/>
      <c r="L28" s="28"/>
      <c r="M28" s="6"/>
      <c r="N28" s="2"/>
    </row>
    <row r="29" spans="1:14" ht="25.5" x14ac:dyDescent="0.2">
      <c r="A29" s="29">
        <v>20100</v>
      </c>
      <c r="B29" s="27" t="s">
        <v>77</v>
      </c>
      <c r="C29" s="10"/>
      <c r="D29" s="27" t="s">
        <v>78</v>
      </c>
      <c r="E29" s="27" t="s">
        <v>304</v>
      </c>
      <c r="F29" s="27" t="s">
        <v>402</v>
      </c>
      <c r="G29" s="28" t="s">
        <v>306</v>
      </c>
      <c r="H29" s="6">
        <v>42703</v>
      </c>
      <c r="I29" s="10"/>
      <c r="J29" s="2"/>
      <c r="K29" s="10"/>
      <c r="L29" s="28"/>
      <c r="M29" s="6"/>
      <c r="N29" s="2"/>
    </row>
    <row r="30" spans="1:14" ht="38.25" x14ac:dyDescent="0.2">
      <c r="A30" s="29">
        <v>20110</v>
      </c>
      <c r="B30" s="27" t="s">
        <v>79</v>
      </c>
      <c r="C30" s="10"/>
      <c r="D30" s="27" t="s">
        <v>424</v>
      </c>
      <c r="E30" s="27" t="s">
        <v>304</v>
      </c>
      <c r="F30" s="27" t="s">
        <v>402</v>
      </c>
      <c r="G30" s="28" t="s">
        <v>306</v>
      </c>
      <c r="H30" s="6">
        <v>42703</v>
      </c>
      <c r="I30" s="10"/>
      <c r="J30" s="2"/>
      <c r="K30" s="10"/>
      <c r="L30" s="28"/>
      <c r="M30" s="6"/>
      <c r="N30" s="2"/>
    </row>
    <row r="31" spans="1:14" ht="25.5" x14ac:dyDescent="0.2">
      <c r="A31" s="29">
        <v>20120</v>
      </c>
      <c r="B31" s="27" t="s">
        <v>82</v>
      </c>
      <c r="C31" s="10"/>
      <c r="D31" s="27" t="s">
        <v>83</v>
      </c>
      <c r="E31" s="27" t="s">
        <v>304</v>
      </c>
      <c r="F31" s="27" t="s">
        <v>402</v>
      </c>
      <c r="G31" s="28" t="s">
        <v>306</v>
      </c>
      <c r="H31" s="6">
        <v>42703</v>
      </c>
      <c r="I31" s="10"/>
      <c r="J31" s="2"/>
      <c r="K31" s="10"/>
      <c r="L31" s="28"/>
      <c r="M31" s="6"/>
      <c r="N31" s="2"/>
    </row>
    <row r="32" spans="1:14" ht="25.5" x14ac:dyDescent="0.2">
      <c r="A32" s="29">
        <v>20130</v>
      </c>
      <c r="B32" s="27" t="s">
        <v>81</v>
      </c>
      <c r="C32" s="10"/>
      <c r="D32" s="2" t="s">
        <v>83</v>
      </c>
      <c r="E32" s="27" t="s">
        <v>304</v>
      </c>
      <c r="F32" s="27" t="s">
        <v>402</v>
      </c>
      <c r="G32" s="28" t="s">
        <v>306</v>
      </c>
      <c r="H32" s="6">
        <v>42703</v>
      </c>
      <c r="I32" s="10"/>
      <c r="J32" s="2"/>
      <c r="K32" s="10"/>
      <c r="L32" s="28"/>
      <c r="M32" s="6"/>
      <c r="N32" s="2"/>
    </row>
    <row r="33" spans="1:14" ht="25.5" x14ac:dyDescent="0.2">
      <c r="A33" s="29">
        <v>20140</v>
      </c>
      <c r="B33" s="27" t="s">
        <v>425</v>
      </c>
      <c r="C33" s="10"/>
      <c r="D33" s="2" t="s">
        <v>83</v>
      </c>
      <c r="E33" s="27" t="s">
        <v>304</v>
      </c>
      <c r="F33" s="27" t="s">
        <v>402</v>
      </c>
      <c r="G33" s="28" t="s">
        <v>306</v>
      </c>
      <c r="H33" s="6">
        <v>42703</v>
      </c>
      <c r="I33" s="10"/>
      <c r="J33" s="2"/>
      <c r="K33" s="10"/>
      <c r="L33" s="28"/>
      <c r="M33" s="6"/>
      <c r="N33" s="2"/>
    </row>
    <row r="34" spans="1:14" ht="25.5" x14ac:dyDescent="0.2">
      <c r="A34" s="29">
        <v>20150</v>
      </c>
      <c r="B34" s="27" t="s">
        <v>80</v>
      </c>
      <c r="C34" s="10"/>
      <c r="D34" s="2" t="s">
        <v>83</v>
      </c>
      <c r="E34" s="27" t="s">
        <v>304</v>
      </c>
      <c r="F34" s="27" t="s">
        <v>402</v>
      </c>
      <c r="G34" s="28" t="s">
        <v>306</v>
      </c>
      <c r="H34" s="6">
        <v>42703</v>
      </c>
      <c r="I34" s="10"/>
      <c r="J34" s="2"/>
      <c r="K34" s="10"/>
      <c r="L34" s="28"/>
      <c r="M34" s="6"/>
      <c r="N34" s="2"/>
    </row>
    <row r="35" spans="1:14" ht="25.5" x14ac:dyDescent="0.2">
      <c r="A35" s="29">
        <v>20160</v>
      </c>
      <c r="B35" s="27" t="s">
        <v>426</v>
      </c>
      <c r="C35" s="10"/>
      <c r="D35" s="2" t="s">
        <v>83</v>
      </c>
      <c r="E35" s="27" t="s">
        <v>304</v>
      </c>
      <c r="F35" s="27" t="s">
        <v>402</v>
      </c>
      <c r="G35" s="28" t="s">
        <v>306</v>
      </c>
      <c r="H35" s="6">
        <v>42703</v>
      </c>
      <c r="I35" s="10"/>
      <c r="J35" s="2"/>
      <c r="K35" s="10"/>
      <c r="L35" s="28"/>
      <c r="M35" s="6"/>
      <c r="N35" s="2"/>
    </row>
    <row r="36" spans="1:14" ht="25.5" x14ac:dyDescent="0.2">
      <c r="A36" s="29">
        <v>20170</v>
      </c>
      <c r="B36" s="27" t="s">
        <v>427</v>
      </c>
      <c r="C36" s="28"/>
      <c r="D36" s="2" t="s">
        <v>83</v>
      </c>
      <c r="E36" s="27" t="s">
        <v>304</v>
      </c>
      <c r="F36" s="27" t="s">
        <v>402</v>
      </c>
      <c r="G36" s="28" t="s">
        <v>306</v>
      </c>
      <c r="H36" s="6">
        <v>42703</v>
      </c>
      <c r="I36" s="10"/>
      <c r="J36" s="2"/>
      <c r="K36" s="10"/>
      <c r="L36" s="28"/>
      <c r="M36" s="6"/>
      <c r="N36" s="2"/>
    </row>
    <row r="37" spans="1:14" ht="25.5" x14ac:dyDescent="0.2">
      <c r="A37" s="29">
        <v>20180</v>
      </c>
      <c r="B37" s="27" t="s">
        <v>84</v>
      </c>
      <c r="C37" s="10"/>
      <c r="D37" s="2" t="s">
        <v>83</v>
      </c>
      <c r="E37" s="27" t="s">
        <v>304</v>
      </c>
      <c r="F37" s="27" t="s">
        <v>402</v>
      </c>
      <c r="G37" s="28" t="s">
        <v>306</v>
      </c>
      <c r="H37" s="6">
        <v>42703</v>
      </c>
      <c r="I37" s="10"/>
      <c r="J37" s="2"/>
      <c r="K37" s="10"/>
      <c r="L37" s="28"/>
      <c r="M37" s="6"/>
      <c r="N37" s="2"/>
    </row>
    <row r="38" spans="1:14" ht="25.5" x14ac:dyDescent="0.2">
      <c r="A38" s="29">
        <v>20190</v>
      </c>
      <c r="B38" s="27" t="s">
        <v>85</v>
      </c>
      <c r="C38" s="10"/>
      <c r="D38" s="2" t="s">
        <v>83</v>
      </c>
      <c r="E38" s="27" t="s">
        <v>304</v>
      </c>
      <c r="F38" s="27" t="s">
        <v>402</v>
      </c>
      <c r="G38" s="28" t="s">
        <v>306</v>
      </c>
      <c r="H38" s="6">
        <v>42703</v>
      </c>
      <c r="I38" s="10"/>
      <c r="J38" s="2"/>
      <c r="K38" s="10"/>
      <c r="L38" s="28"/>
      <c r="M38" s="6"/>
      <c r="N38" s="2"/>
    </row>
    <row r="39" spans="1:14" ht="25.5" x14ac:dyDescent="0.2">
      <c r="A39" s="29">
        <v>20200</v>
      </c>
      <c r="B39" s="27" t="s">
        <v>86</v>
      </c>
      <c r="C39" s="10"/>
      <c r="D39" s="2" t="s">
        <v>83</v>
      </c>
      <c r="E39" s="27" t="s">
        <v>304</v>
      </c>
      <c r="F39" s="27" t="s">
        <v>402</v>
      </c>
      <c r="G39" s="28" t="s">
        <v>306</v>
      </c>
      <c r="H39" s="6">
        <v>42703</v>
      </c>
      <c r="I39" s="10"/>
      <c r="J39" s="2"/>
      <c r="K39" s="10"/>
      <c r="L39" s="28"/>
      <c r="M39" s="6"/>
      <c r="N39" s="2"/>
    </row>
    <row r="40" spans="1:14" ht="25.5" x14ac:dyDescent="0.2">
      <c r="A40" s="29">
        <v>20210</v>
      </c>
      <c r="B40" s="27" t="s">
        <v>87</v>
      </c>
      <c r="C40" s="10"/>
      <c r="D40" s="2" t="s">
        <v>83</v>
      </c>
      <c r="E40" s="27" t="s">
        <v>304</v>
      </c>
      <c r="F40" s="27" t="s">
        <v>402</v>
      </c>
      <c r="G40" s="28" t="s">
        <v>306</v>
      </c>
      <c r="H40" s="6">
        <v>42703</v>
      </c>
      <c r="I40" s="10"/>
      <c r="J40" s="2"/>
      <c r="K40" s="10"/>
      <c r="L40" s="28"/>
      <c r="M40" s="6"/>
      <c r="N40" s="2"/>
    </row>
    <row r="41" spans="1:14" ht="25.5" x14ac:dyDescent="0.2">
      <c r="A41" s="29">
        <v>20220</v>
      </c>
      <c r="B41" s="27" t="s">
        <v>88</v>
      </c>
      <c r="C41" s="10"/>
      <c r="D41" s="2" t="s">
        <v>83</v>
      </c>
      <c r="E41" s="27" t="s">
        <v>304</v>
      </c>
      <c r="F41" s="27" t="s">
        <v>402</v>
      </c>
      <c r="G41" s="28" t="s">
        <v>306</v>
      </c>
      <c r="H41" s="6">
        <v>42703</v>
      </c>
      <c r="I41" s="10"/>
      <c r="J41" s="2"/>
      <c r="K41" s="10"/>
      <c r="L41" s="28"/>
      <c r="M41" s="6"/>
      <c r="N41" s="2"/>
    </row>
    <row r="42" spans="1:14" ht="25.5" x14ac:dyDescent="0.2">
      <c r="A42" s="29">
        <v>20230</v>
      </c>
      <c r="B42" s="27" t="s">
        <v>89</v>
      </c>
      <c r="C42" s="10"/>
      <c r="D42" s="2" t="s">
        <v>83</v>
      </c>
      <c r="E42" s="27" t="s">
        <v>304</v>
      </c>
      <c r="F42" s="27" t="s">
        <v>402</v>
      </c>
      <c r="G42" s="28" t="s">
        <v>306</v>
      </c>
      <c r="H42" s="6">
        <v>42703</v>
      </c>
      <c r="I42" s="10"/>
      <c r="J42" s="2"/>
      <c r="K42" s="10"/>
      <c r="L42" s="28"/>
      <c r="M42" s="6"/>
      <c r="N42" s="2"/>
    </row>
    <row r="43" spans="1:14" ht="25.5" x14ac:dyDescent="0.2">
      <c r="A43" s="29">
        <v>20240</v>
      </c>
      <c r="B43" s="27" t="s">
        <v>90</v>
      </c>
      <c r="C43" s="10"/>
      <c r="D43" s="27" t="s">
        <v>91</v>
      </c>
      <c r="E43" s="27" t="s">
        <v>304</v>
      </c>
      <c r="F43" s="27" t="s">
        <v>402</v>
      </c>
      <c r="G43" s="28" t="s">
        <v>306</v>
      </c>
      <c r="H43" s="6">
        <v>42703</v>
      </c>
      <c r="I43" s="10"/>
      <c r="J43" s="2"/>
      <c r="K43" s="10"/>
      <c r="L43" s="28"/>
      <c r="M43" s="6"/>
      <c r="N43" s="2"/>
    </row>
    <row r="44" spans="1:14" ht="25.5" x14ac:dyDescent="0.2">
      <c r="A44" s="29">
        <v>20260</v>
      </c>
      <c r="B44" s="27" t="s">
        <v>96</v>
      </c>
      <c r="C44" s="10"/>
      <c r="D44" s="27" t="s">
        <v>414</v>
      </c>
      <c r="E44" s="27" t="s">
        <v>304</v>
      </c>
      <c r="F44" s="27" t="s">
        <v>402</v>
      </c>
      <c r="G44" s="28" t="s">
        <v>306</v>
      </c>
      <c r="H44" s="6">
        <v>42703</v>
      </c>
      <c r="I44" s="10"/>
      <c r="J44" s="2"/>
      <c r="K44" s="10"/>
      <c r="L44" s="28"/>
      <c r="M44" s="6"/>
      <c r="N44" s="2"/>
    </row>
    <row r="45" spans="1:14" x14ac:dyDescent="0.2">
      <c r="A45" s="29">
        <v>30000</v>
      </c>
      <c r="B45" s="27" t="s">
        <v>92</v>
      </c>
      <c r="C45" s="28"/>
      <c r="D45" s="2"/>
      <c r="E45" s="2"/>
      <c r="F45" s="27"/>
      <c r="G45" s="28"/>
      <c r="H45" s="6"/>
      <c r="I45" s="10"/>
      <c r="J45" s="2"/>
      <c r="K45" s="10"/>
      <c r="L45" s="28"/>
      <c r="M45" s="6"/>
      <c r="N45" s="2"/>
    </row>
    <row r="46" spans="1:14" ht="25.5" x14ac:dyDescent="0.2">
      <c r="A46" s="47">
        <v>30010</v>
      </c>
      <c r="B46" s="48" t="s">
        <v>428</v>
      </c>
      <c r="C46" s="50"/>
      <c r="D46" s="48" t="s">
        <v>94</v>
      </c>
      <c r="E46" s="48" t="s">
        <v>304</v>
      </c>
      <c r="F46" s="48" t="s">
        <v>402</v>
      </c>
      <c r="G46" s="50" t="s">
        <v>306</v>
      </c>
      <c r="H46" s="51">
        <v>42703</v>
      </c>
      <c r="I46" s="49"/>
      <c r="J46" s="52"/>
      <c r="K46" s="49"/>
      <c r="L46" s="50" t="s">
        <v>395</v>
      </c>
      <c r="M46" s="51">
        <v>42762</v>
      </c>
      <c r="N46" s="48" t="s">
        <v>466</v>
      </c>
    </row>
    <row r="47" spans="1:14" ht="25.5" x14ac:dyDescent="0.2">
      <c r="A47" s="29">
        <v>30020</v>
      </c>
      <c r="B47" s="27" t="s">
        <v>93</v>
      </c>
      <c r="C47" s="28"/>
      <c r="D47" s="27" t="s">
        <v>95</v>
      </c>
      <c r="E47" s="27" t="s">
        <v>304</v>
      </c>
      <c r="F47" s="27" t="s">
        <v>402</v>
      </c>
      <c r="G47" s="28" t="s">
        <v>306</v>
      </c>
      <c r="H47" s="6">
        <v>42703</v>
      </c>
      <c r="I47" s="10"/>
      <c r="J47" s="2"/>
      <c r="K47" s="10"/>
      <c r="L47" s="28"/>
      <c r="M47" s="6"/>
      <c r="N47" s="2"/>
    </row>
    <row r="48" spans="1:14" ht="25.5" x14ac:dyDescent="0.2">
      <c r="A48" s="29">
        <v>30030</v>
      </c>
      <c r="B48" s="27" t="s">
        <v>429</v>
      </c>
      <c r="C48" s="10"/>
      <c r="D48" s="27" t="s">
        <v>430</v>
      </c>
      <c r="E48" s="27" t="s">
        <v>304</v>
      </c>
      <c r="F48" s="27" t="s">
        <v>431</v>
      </c>
      <c r="G48" s="28" t="s">
        <v>306</v>
      </c>
      <c r="H48" s="6">
        <v>42703</v>
      </c>
      <c r="I48" s="10"/>
      <c r="J48" s="2"/>
      <c r="K48" s="10"/>
      <c r="L48" s="28" t="s">
        <v>395</v>
      </c>
      <c r="M48" s="6">
        <v>42710</v>
      </c>
      <c r="N48" s="27" t="s">
        <v>432</v>
      </c>
    </row>
    <row r="49" spans="1:14" ht="25.5" x14ac:dyDescent="0.2">
      <c r="A49" s="29">
        <v>30040</v>
      </c>
      <c r="B49" s="27" t="s">
        <v>96</v>
      </c>
      <c r="C49" s="10"/>
      <c r="D49" s="27" t="s">
        <v>433</v>
      </c>
      <c r="E49" s="27" t="s">
        <v>304</v>
      </c>
      <c r="F49" s="27" t="s">
        <v>402</v>
      </c>
      <c r="G49" s="28" t="s">
        <v>306</v>
      </c>
      <c r="H49" s="6">
        <v>42703</v>
      </c>
      <c r="I49" s="10"/>
      <c r="J49" s="2"/>
      <c r="K49" s="10"/>
      <c r="L49" s="28"/>
      <c r="M49" s="6"/>
      <c r="N49" s="2"/>
    </row>
    <row r="50" spans="1:14" x14ac:dyDescent="0.2">
      <c r="A50" s="29">
        <v>40000</v>
      </c>
      <c r="B50" s="27" t="s">
        <v>97</v>
      </c>
      <c r="C50" s="28"/>
      <c r="D50" s="2"/>
      <c r="E50" s="2"/>
      <c r="F50" s="27"/>
      <c r="G50" s="28"/>
      <c r="H50" s="6"/>
      <c r="I50" s="10"/>
      <c r="J50" s="2"/>
      <c r="K50" s="10"/>
      <c r="L50" s="28"/>
      <c r="M50" s="6"/>
      <c r="N50" s="2"/>
    </row>
    <row r="51" spans="1:14" ht="38.25" x14ac:dyDescent="0.2">
      <c r="A51" s="29">
        <v>40010</v>
      </c>
      <c r="B51" s="27" t="s">
        <v>98</v>
      </c>
      <c r="C51" s="28"/>
      <c r="D51" s="31" t="s">
        <v>99</v>
      </c>
      <c r="E51" s="27" t="s">
        <v>304</v>
      </c>
      <c r="F51" s="27" t="s">
        <v>402</v>
      </c>
      <c r="G51" s="28" t="s">
        <v>306</v>
      </c>
      <c r="H51" s="6">
        <v>42703</v>
      </c>
      <c r="I51" s="10"/>
      <c r="J51" s="2"/>
      <c r="K51" s="10"/>
      <c r="L51" s="28"/>
      <c r="M51" s="6"/>
      <c r="N51" s="2"/>
    </row>
    <row r="52" spans="1:14" ht="38.25" x14ac:dyDescent="0.2">
      <c r="A52" s="29">
        <v>40020</v>
      </c>
      <c r="B52" s="27" t="s">
        <v>100</v>
      </c>
      <c r="C52" s="28"/>
      <c r="D52" s="27" t="s">
        <v>434</v>
      </c>
      <c r="E52" s="27" t="s">
        <v>304</v>
      </c>
      <c r="F52" s="27" t="s">
        <v>402</v>
      </c>
      <c r="G52" s="28" t="s">
        <v>306</v>
      </c>
      <c r="H52" s="6">
        <v>42703</v>
      </c>
      <c r="I52" s="10"/>
      <c r="J52" s="2"/>
      <c r="K52" s="10"/>
      <c r="L52" s="28"/>
      <c r="M52" s="6"/>
      <c r="N52" s="2"/>
    </row>
    <row r="53" spans="1:14" ht="51" x14ac:dyDescent="0.2">
      <c r="A53" s="29">
        <v>40030</v>
      </c>
      <c r="B53" s="27" t="s">
        <v>435</v>
      </c>
      <c r="C53" s="28"/>
      <c r="D53" s="27" t="s">
        <v>436</v>
      </c>
      <c r="E53" s="27" t="s">
        <v>304</v>
      </c>
      <c r="F53" s="27" t="s">
        <v>402</v>
      </c>
      <c r="G53" s="28" t="s">
        <v>306</v>
      </c>
      <c r="H53" s="6">
        <v>42703</v>
      </c>
      <c r="I53" s="10"/>
      <c r="J53" s="2"/>
      <c r="K53" s="10"/>
      <c r="L53" s="28"/>
      <c r="M53" s="6"/>
      <c r="N53" s="2"/>
    </row>
    <row r="54" spans="1:14" ht="38.25" x14ac:dyDescent="0.2">
      <c r="A54" s="29">
        <v>40040</v>
      </c>
      <c r="B54" s="27" t="s">
        <v>127</v>
      </c>
      <c r="C54" s="28"/>
      <c r="D54" s="27" t="s">
        <v>437</v>
      </c>
      <c r="E54" s="27" t="s">
        <v>304</v>
      </c>
      <c r="F54" s="27" t="s">
        <v>402</v>
      </c>
      <c r="G54" s="28" t="s">
        <v>306</v>
      </c>
      <c r="H54" s="6">
        <v>42703</v>
      </c>
      <c r="I54" s="10"/>
      <c r="J54" s="2"/>
      <c r="K54" s="10"/>
      <c r="L54" s="28"/>
      <c r="M54" s="6"/>
      <c r="N54" s="2"/>
    </row>
    <row r="55" spans="1:14" ht="25.5" x14ac:dyDescent="0.2">
      <c r="A55" s="29">
        <v>40050</v>
      </c>
      <c r="B55" s="27" t="s">
        <v>361</v>
      </c>
      <c r="C55" s="28"/>
      <c r="D55" s="27" t="s">
        <v>438</v>
      </c>
      <c r="E55" s="27" t="s">
        <v>304</v>
      </c>
      <c r="F55" s="27" t="s">
        <v>402</v>
      </c>
      <c r="G55" s="28" t="s">
        <v>306</v>
      </c>
      <c r="H55" s="6">
        <v>42703</v>
      </c>
      <c r="I55" s="10"/>
      <c r="J55" s="2"/>
      <c r="K55" s="10"/>
      <c r="L55" s="28"/>
      <c r="M55" s="6"/>
      <c r="N55" s="2"/>
    </row>
    <row r="56" spans="1:14" ht="25.5" x14ac:dyDescent="0.2">
      <c r="A56" s="29">
        <v>40060</v>
      </c>
      <c r="B56" s="27" t="s">
        <v>362</v>
      </c>
      <c r="C56" s="28"/>
      <c r="D56" s="27" t="s">
        <v>438</v>
      </c>
      <c r="E56" s="27" t="s">
        <v>304</v>
      </c>
      <c r="F56" s="27" t="s">
        <v>402</v>
      </c>
      <c r="G56" s="28" t="s">
        <v>306</v>
      </c>
      <c r="H56" s="6">
        <v>42703</v>
      </c>
      <c r="I56" s="10"/>
      <c r="J56" s="2"/>
      <c r="K56" s="10"/>
      <c r="L56" s="28"/>
      <c r="M56" s="6"/>
      <c r="N56" s="2"/>
    </row>
    <row r="57" spans="1:14" ht="25.5" x14ac:dyDescent="0.2">
      <c r="A57" s="29">
        <v>40070</v>
      </c>
      <c r="B57" s="27" t="s">
        <v>363</v>
      </c>
      <c r="C57" s="28"/>
      <c r="D57" s="27" t="s">
        <v>438</v>
      </c>
      <c r="E57" s="27" t="s">
        <v>304</v>
      </c>
      <c r="F57" s="27" t="s">
        <v>402</v>
      </c>
      <c r="G57" s="28" t="s">
        <v>306</v>
      </c>
      <c r="H57" s="6">
        <v>42703</v>
      </c>
      <c r="I57" s="10"/>
      <c r="J57" s="2"/>
      <c r="K57" s="10"/>
      <c r="L57" s="28"/>
      <c r="M57" s="6"/>
      <c r="N57" s="2"/>
    </row>
    <row r="58" spans="1:14" ht="25.5" x14ac:dyDescent="0.2">
      <c r="A58" s="29">
        <v>40080</v>
      </c>
      <c r="B58" s="27" t="s">
        <v>360</v>
      </c>
      <c r="C58" s="28"/>
      <c r="D58" s="27" t="s">
        <v>439</v>
      </c>
      <c r="E58" s="27" t="s">
        <v>304</v>
      </c>
      <c r="F58" s="27" t="s">
        <v>402</v>
      </c>
      <c r="G58" s="28" t="s">
        <v>306</v>
      </c>
      <c r="H58" s="6">
        <v>42703</v>
      </c>
      <c r="I58" s="10"/>
      <c r="J58" s="2"/>
      <c r="K58" s="10"/>
      <c r="L58" s="28"/>
      <c r="M58" s="6"/>
      <c r="N58" s="2"/>
    </row>
    <row r="59" spans="1:14" x14ac:dyDescent="0.2">
      <c r="A59" s="29"/>
      <c r="B59" s="27"/>
      <c r="C59" s="28"/>
      <c r="D59" s="27"/>
      <c r="E59" s="27"/>
      <c r="F59" s="27"/>
      <c r="G59" s="28"/>
      <c r="H59" s="6"/>
      <c r="I59" s="10"/>
      <c r="J59" s="2"/>
      <c r="K59" s="10"/>
      <c r="L59" s="28"/>
      <c r="M59" s="6"/>
      <c r="N59" s="2"/>
    </row>
    <row r="60" spans="1:14" x14ac:dyDescent="0.2">
      <c r="A60" s="29"/>
      <c r="B60" s="27"/>
      <c r="C60" s="28"/>
      <c r="D60" s="27"/>
      <c r="E60" s="27"/>
      <c r="F60" s="27"/>
      <c r="G60" s="28"/>
      <c r="H60" s="6"/>
      <c r="I60" s="10"/>
      <c r="J60" s="2"/>
      <c r="K60" s="10"/>
      <c r="L60" s="28"/>
      <c r="M60" s="6"/>
      <c r="N60" s="2"/>
    </row>
    <row r="61" spans="1:14" x14ac:dyDescent="0.2">
      <c r="A61" s="29">
        <v>50000</v>
      </c>
      <c r="B61" s="27" t="s">
        <v>101</v>
      </c>
      <c r="C61" s="28"/>
      <c r="D61" s="2"/>
      <c r="E61" s="2"/>
      <c r="F61" s="27"/>
      <c r="G61" s="28"/>
      <c r="H61" s="6"/>
      <c r="I61" s="10"/>
      <c r="J61" s="2"/>
      <c r="K61" s="10"/>
      <c r="L61" s="28"/>
      <c r="M61" s="6"/>
      <c r="N61" s="2"/>
    </row>
    <row r="62" spans="1:14" ht="25.5" x14ac:dyDescent="0.2">
      <c r="A62" s="29">
        <v>50010</v>
      </c>
      <c r="B62" s="27" t="s">
        <v>62</v>
      </c>
      <c r="C62" s="28"/>
      <c r="D62" s="27" t="s">
        <v>102</v>
      </c>
      <c r="E62" s="27" t="s">
        <v>304</v>
      </c>
      <c r="F62" s="27" t="s">
        <v>303</v>
      </c>
      <c r="G62" s="28" t="s">
        <v>306</v>
      </c>
      <c r="H62" s="6">
        <v>42703</v>
      </c>
      <c r="I62" s="10"/>
      <c r="J62" s="2"/>
      <c r="K62" s="10"/>
      <c r="L62" s="28"/>
      <c r="M62" s="6"/>
      <c r="N62" s="2"/>
    </row>
    <row r="63" spans="1:14" ht="38.25" x14ac:dyDescent="0.2">
      <c r="A63" s="29">
        <v>50020</v>
      </c>
      <c r="B63" s="27" t="s">
        <v>63</v>
      </c>
      <c r="C63" s="28"/>
      <c r="D63" s="27" t="s">
        <v>103</v>
      </c>
      <c r="E63" s="27" t="s">
        <v>304</v>
      </c>
      <c r="F63" s="27" t="s">
        <v>303</v>
      </c>
      <c r="G63" s="28" t="s">
        <v>306</v>
      </c>
      <c r="H63" s="6">
        <v>42703</v>
      </c>
      <c r="I63" s="10"/>
      <c r="J63" s="2"/>
      <c r="K63" s="10"/>
      <c r="L63" s="28"/>
      <c r="M63" s="6"/>
      <c r="N63" s="2"/>
    </row>
    <row r="64" spans="1:14" ht="38.25" x14ac:dyDescent="0.2">
      <c r="A64" s="29">
        <v>50030</v>
      </c>
      <c r="B64" s="27" t="s">
        <v>65</v>
      </c>
      <c r="C64" s="10"/>
      <c r="D64" s="27" t="s">
        <v>104</v>
      </c>
      <c r="E64" s="27" t="s">
        <v>304</v>
      </c>
      <c r="F64" s="27" t="s">
        <v>303</v>
      </c>
      <c r="G64" s="28" t="s">
        <v>306</v>
      </c>
      <c r="H64" s="6">
        <v>42703</v>
      </c>
      <c r="I64" s="10"/>
      <c r="J64" s="2"/>
      <c r="K64" s="10"/>
      <c r="L64" s="28"/>
      <c r="M64" s="6"/>
      <c r="N64" s="2"/>
    </row>
    <row r="65" spans="1:14" ht="38.25" x14ac:dyDescent="0.2">
      <c r="A65" s="29">
        <v>50040</v>
      </c>
      <c r="B65" s="27" t="s">
        <v>106</v>
      </c>
      <c r="C65" s="10"/>
      <c r="D65" s="27" t="s">
        <v>105</v>
      </c>
      <c r="E65" s="27" t="s">
        <v>304</v>
      </c>
      <c r="F65" s="27" t="s">
        <v>303</v>
      </c>
      <c r="G65" s="28" t="s">
        <v>306</v>
      </c>
      <c r="H65" s="6">
        <v>42703</v>
      </c>
      <c r="I65" s="10"/>
      <c r="J65" s="2"/>
      <c r="K65" s="10"/>
      <c r="L65" s="28"/>
      <c r="M65" s="6"/>
      <c r="N65" s="2"/>
    </row>
    <row r="66" spans="1:14" ht="25.5" x14ac:dyDescent="0.2">
      <c r="A66" s="29">
        <v>50050</v>
      </c>
      <c r="B66" s="27" t="s">
        <v>107</v>
      </c>
      <c r="C66" s="10"/>
      <c r="D66" s="27" t="s">
        <v>108</v>
      </c>
      <c r="E66" s="27" t="s">
        <v>304</v>
      </c>
      <c r="F66" s="27" t="s">
        <v>303</v>
      </c>
      <c r="G66" s="28" t="s">
        <v>306</v>
      </c>
      <c r="H66" s="6">
        <v>42703</v>
      </c>
      <c r="I66" s="10"/>
      <c r="J66" s="2"/>
      <c r="K66" s="10"/>
      <c r="L66" s="28"/>
      <c r="M66" s="6"/>
      <c r="N66" s="2"/>
    </row>
    <row r="67" spans="1:14" x14ac:dyDescent="0.2">
      <c r="A67" s="29">
        <v>50060</v>
      </c>
      <c r="B67" s="27" t="s">
        <v>109</v>
      </c>
      <c r="C67" s="10"/>
      <c r="D67" s="27" t="s">
        <v>110</v>
      </c>
      <c r="E67" s="27" t="s">
        <v>304</v>
      </c>
      <c r="F67" s="27" t="s">
        <v>303</v>
      </c>
      <c r="G67" s="28" t="s">
        <v>306</v>
      </c>
      <c r="H67" s="6">
        <v>42703</v>
      </c>
      <c r="I67" s="10"/>
      <c r="J67" s="2"/>
      <c r="K67" s="10"/>
      <c r="L67" s="28"/>
      <c r="M67" s="6"/>
      <c r="N67" s="2"/>
    </row>
    <row r="68" spans="1:14" ht="63.75" x14ac:dyDescent="0.2">
      <c r="A68" s="29">
        <v>50070</v>
      </c>
      <c r="B68" s="27" t="s">
        <v>118</v>
      </c>
      <c r="C68" s="10"/>
      <c r="D68" s="27" t="s">
        <v>119</v>
      </c>
      <c r="E68" s="27" t="s">
        <v>304</v>
      </c>
      <c r="F68" s="27" t="s">
        <v>303</v>
      </c>
      <c r="G68" s="28" t="s">
        <v>306</v>
      </c>
      <c r="H68" s="6">
        <v>42703</v>
      </c>
      <c r="I68" s="10"/>
      <c r="J68" s="2"/>
      <c r="K68" s="10"/>
      <c r="L68" s="28"/>
      <c r="M68" s="6"/>
      <c r="N68" s="2"/>
    </row>
    <row r="69" spans="1:14" x14ac:dyDescent="0.2">
      <c r="A69" s="29">
        <v>60000</v>
      </c>
      <c r="B69" s="27" t="s">
        <v>120</v>
      </c>
      <c r="C69" s="28"/>
      <c r="D69" s="2"/>
      <c r="E69" s="2"/>
      <c r="F69" s="27"/>
      <c r="G69" s="28"/>
      <c r="H69" s="6"/>
      <c r="I69" s="10"/>
      <c r="J69" s="2"/>
      <c r="K69" s="10"/>
      <c r="L69" s="28"/>
      <c r="M69" s="6"/>
      <c r="N69" s="2"/>
    </row>
    <row r="70" spans="1:14" ht="38.25" x14ac:dyDescent="0.2">
      <c r="A70" s="29">
        <v>60010</v>
      </c>
      <c r="B70" s="27" t="s">
        <v>121</v>
      </c>
      <c r="C70" s="28"/>
      <c r="D70" s="27" t="s">
        <v>128</v>
      </c>
      <c r="E70" s="27" t="s">
        <v>304</v>
      </c>
      <c r="F70" s="27" t="s">
        <v>303</v>
      </c>
      <c r="G70" s="28" t="s">
        <v>306</v>
      </c>
      <c r="H70" s="6">
        <v>42703</v>
      </c>
      <c r="I70" s="10"/>
      <c r="J70" s="2"/>
      <c r="K70" s="10"/>
      <c r="L70" s="28"/>
      <c r="M70" s="6"/>
      <c r="N70" s="2"/>
    </row>
    <row r="71" spans="1:14" ht="25.5" x14ac:dyDescent="0.2">
      <c r="A71" s="29">
        <v>60020</v>
      </c>
      <c r="B71" s="27" t="s">
        <v>122</v>
      </c>
      <c r="C71" s="28"/>
      <c r="D71" s="27" t="s">
        <v>131</v>
      </c>
      <c r="E71" s="27" t="s">
        <v>304</v>
      </c>
      <c r="F71" s="27" t="s">
        <v>303</v>
      </c>
      <c r="G71" s="28" t="s">
        <v>306</v>
      </c>
      <c r="H71" s="6">
        <v>42703</v>
      </c>
      <c r="I71" s="10"/>
      <c r="J71" s="2"/>
      <c r="K71" s="10"/>
      <c r="L71" s="28"/>
      <c r="M71" s="6"/>
      <c r="N71" s="2"/>
    </row>
    <row r="72" spans="1:14" ht="25.5" x14ac:dyDescent="0.2">
      <c r="A72" s="29">
        <v>60030</v>
      </c>
      <c r="B72" s="27" t="s">
        <v>123</v>
      </c>
      <c r="C72" s="28"/>
      <c r="D72" s="27" t="s">
        <v>131</v>
      </c>
      <c r="E72" s="27" t="s">
        <v>304</v>
      </c>
      <c r="F72" s="27" t="s">
        <v>303</v>
      </c>
      <c r="G72" s="28" t="s">
        <v>306</v>
      </c>
      <c r="H72" s="6">
        <v>42703</v>
      </c>
      <c r="I72" s="10"/>
      <c r="J72" s="2"/>
      <c r="K72" s="10"/>
      <c r="L72" s="28"/>
      <c r="M72" s="6"/>
      <c r="N72" s="2"/>
    </row>
    <row r="73" spans="1:14" ht="38.25" x14ac:dyDescent="0.2">
      <c r="A73" s="29">
        <v>60040</v>
      </c>
      <c r="B73" s="27" t="s">
        <v>124</v>
      </c>
      <c r="C73" s="28"/>
      <c r="D73" s="27" t="s">
        <v>132</v>
      </c>
      <c r="E73" s="27" t="s">
        <v>304</v>
      </c>
      <c r="F73" s="27" t="s">
        <v>307</v>
      </c>
      <c r="G73" s="28" t="s">
        <v>306</v>
      </c>
      <c r="H73" s="6">
        <v>42703</v>
      </c>
      <c r="I73" s="10"/>
      <c r="J73" s="2"/>
      <c r="K73" s="10"/>
      <c r="L73" s="28" t="s">
        <v>306</v>
      </c>
      <c r="M73" s="6">
        <v>42710</v>
      </c>
      <c r="N73" s="2"/>
    </row>
    <row r="74" spans="1:14" ht="25.5" x14ac:dyDescent="0.2">
      <c r="A74" s="29">
        <v>60050</v>
      </c>
      <c r="B74" s="27" t="s">
        <v>125</v>
      </c>
      <c r="C74" s="28"/>
      <c r="D74" s="27" t="s">
        <v>131</v>
      </c>
      <c r="E74" s="27" t="s">
        <v>304</v>
      </c>
      <c r="F74" s="27" t="s">
        <v>303</v>
      </c>
      <c r="G74" s="28" t="s">
        <v>306</v>
      </c>
      <c r="H74" s="6">
        <v>42703</v>
      </c>
      <c r="I74" s="10"/>
      <c r="J74" s="2"/>
      <c r="K74" s="10"/>
      <c r="L74" s="28"/>
      <c r="M74" s="6"/>
      <c r="N74" s="2"/>
    </row>
    <row r="75" spans="1:14" ht="25.5" x14ac:dyDescent="0.2">
      <c r="A75" s="29">
        <v>60060</v>
      </c>
      <c r="B75" s="27" t="s">
        <v>126</v>
      </c>
      <c r="C75" s="28"/>
      <c r="D75" s="27" t="s">
        <v>131</v>
      </c>
      <c r="E75" s="27" t="s">
        <v>304</v>
      </c>
      <c r="F75" s="27" t="s">
        <v>303</v>
      </c>
      <c r="G75" s="28" t="s">
        <v>306</v>
      </c>
      <c r="H75" s="6">
        <v>42703</v>
      </c>
      <c r="I75" s="10"/>
      <c r="J75" s="2"/>
      <c r="K75" s="10"/>
      <c r="L75" s="28"/>
      <c r="M75" s="6"/>
      <c r="N75" s="2"/>
    </row>
    <row r="76" spans="1:14" ht="38.25" x14ac:dyDescent="0.2">
      <c r="A76" s="29">
        <v>60070</v>
      </c>
      <c r="B76" s="27" t="s">
        <v>130</v>
      </c>
      <c r="C76" s="28"/>
      <c r="D76" s="27" t="s">
        <v>129</v>
      </c>
      <c r="E76" s="27" t="s">
        <v>304</v>
      </c>
      <c r="F76" s="27" t="s">
        <v>303</v>
      </c>
      <c r="G76" s="28" t="s">
        <v>306</v>
      </c>
      <c r="H76" s="6">
        <v>42703</v>
      </c>
      <c r="I76" s="10"/>
      <c r="J76" s="2"/>
      <c r="K76" s="10"/>
      <c r="L76" s="28"/>
      <c r="M76" s="6"/>
      <c r="N76" s="2"/>
    </row>
    <row r="77" spans="1:14" ht="25.5" x14ac:dyDescent="0.2">
      <c r="A77" s="29">
        <v>60080</v>
      </c>
      <c r="B77" s="27" t="s">
        <v>133</v>
      </c>
      <c r="C77" s="28"/>
      <c r="D77" s="27" t="s">
        <v>134</v>
      </c>
      <c r="E77" s="27" t="s">
        <v>304</v>
      </c>
      <c r="F77" s="27" t="s">
        <v>303</v>
      </c>
      <c r="G77" s="28" t="s">
        <v>306</v>
      </c>
      <c r="H77" s="6">
        <v>42703</v>
      </c>
      <c r="I77" s="10"/>
      <c r="J77" s="2"/>
      <c r="K77" s="10"/>
      <c r="L77" s="28"/>
      <c r="M77" s="6"/>
      <c r="N77" s="2"/>
    </row>
    <row r="78" spans="1:14" ht="38.25" x14ac:dyDescent="0.2">
      <c r="A78" s="29">
        <v>60090</v>
      </c>
      <c r="B78" s="27" t="s">
        <v>136</v>
      </c>
      <c r="C78" s="28"/>
      <c r="D78" s="27" t="s">
        <v>138</v>
      </c>
      <c r="E78" s="27" t="s">
        <v>304</v>
      </c>
      <c r="F78" s="27" t="s">
        <v>308</v>
      </c>
      <c r="G78" s="28" t="s">
        <v>306</v>
      </c>
      <c r="H78" s="6">
        <v>42703</v>
      </c>
      <c r="I78" s="10"/>
      <c r="J78" s="2"/>
      <c r="K78" s="10"/>
      <c r="L78" s="28" t="s">
        <v>306</v>
      </c>
      <c r="M78" s="6">
        <v>42703</v>
      </c>
      <c r="N78" s="27" t="s">
        <v>315</v>
      </c>
    </row>
    <row r="79" spans="1:14" ht="25.5" x14ac:dyDescent="0.2">
      <c r="A79" s="29">
        <v>60100</v>
      </c>
      <c r="B79" s="27" t="s">
        <v>137</v>
      </c>
      <c r="C79" s="28"/>
      <c r="D79" s="27" t="s">
        <v>139</v>
      </c>
      <c r="E79" s="27" t="s">
        <v>304</v>
      </c>
      <c r="F79" s="27" t="s">
        <v>303</v>
      </c>
      <c r="G79" s="28" t="s">
        <v>306</v>
      </c>
      <c r="H79" s="6">
        <v>42703</v>
      </c>
      <c r="I79" s="10"/>
      <c r="J79" s="2"/>
      <c r="K79" s="10"/>
      <c r="L79" s="28"/>
      <c r="M79" s="6"/>
      <c r="N79" s="2"/>
    </row>
    <row r="80" spans="1:14" ht="38.25" x14ac:dyDescent="0.2">
      <c r="A80" s="29">
        <v>60110</v>
      </c>
      <c r="B80" s="27" t="s">
        <v>140</v>
      </c>
      <c r="C80" s="10"/>
      <c r="D80" s="27" t="s">
        <v>141</v>
      </c>
      <c r="E80" s="27" t="s">
        <v>304</v>
      </c>
      <c r="F80" s="27" t="s">
        <v>303</v>
      </c>
      <c r="G80" s="28" t="s">
        <v>306</v>
      </c>
      <c r="H80" s="6">
        <v>42703</v>
      </c>
      <c r="I80" s="10"/>
      <c r="J80" s="2"/>
      <c r="K80" s="10"/>
      <c r="L80" s="28"/>
      <c r="M80" s="6"/>
      <c r="N80" s="2"/>
    </row>
    <row r="81" spans="1:14" ht="25.5" x14ac:dyDescent="0.2">
      <c r="A81" s="29">
        <v>60120</v>
      </c>
      <c r="B81" s="27" t="s">
        <v>145</v>
      </c>
      <c r="C81" s="10"/>
      <c r="D81" s="27" t="s">
        <v>146</v>
      </c>
      <c r="E81" s="27" t="s">
        <v>304</v>
      </c>
      <c r="F81" s="27" t="s">
        <v>303</v>
      </c>
      <c r="G81" s="28" t="s">
        <v>306</v>
      </c>
      <c r="H81" s="6">
        <v>42703</v>
      </c>
      <c r="I81" s="10"/>
      <c r="J81" s="2"/>
      <c r="K81" s="10"/>
      <c r="L81" s="28"/>
      <c r="M81" s="6"/>
      <c r="N81" s="2"/>
    </row>
    <row r="82" spans="1:14" ht="38.25" x14ac:dyDescent="0.2">
      <c r="A82" s="29">
        <v>60130</v>
      </c>
      <c r="B82" s="27" t="s">
        <v>147</v>
      </c>
      <c r="C82" s="10"/>
      <c r="D82" s="27" t="s">
        <v>148</v>
      </c>
      <c r="E82" s="27" t="s">
        <v>304</v>
      </c>
      <c r="F82" s="27" t="s">
        <v>303</v>
      </c>
      <c r="G82" s="28" t="s">
        <v>306</v>
      </c>
      <c r="H82" s="6">
        <v>42703</v>
      </c>
      <c r="I82" s="10"/>
      <c r="J82" s="2"/>
      <c r="K82" s="10"/>
      <c r="L82" s="28"/>
      <c r="M82" s="6"/>
      <c r="N82" s="2"/>
    </row>
    <row r="83" spans="1:14" x14ac:dyDescent="0.2">
      <c r="A83" s="29">
        <v>60140</v>
      </c>
      <c r="B83" s="27" t="s">
        <v>149</v>
      </c>
      <c r="C83" s="10"/>
      <c r="D83" s="27" t="s">
        <v>154</v>
      </c>
      <c r="E83" s="27" t="s">
        <v>304</v>
      </c>
      <c r="F83" s="27" t="s">
        <v>303</v>
      </c>
      <c r="G83" s="28" t="s">
        <v>306</v>
      </c>
      <c r="H83" s="6">
        <v>42703</v>
      </c>
      <c r="I83" s="10"/>
      <c r="J83" s="2"/>
      <c r="K83" s="10"/>
      <c r="L83" s="28"/>
      <c r="M83" s="6"/>
      <c r="N83" s="2"/>
    </row>
    <row r="84" spans="1:14" x14ac:dyDescent="0.2">
      <c r="A84" s="29">
        <v>60150</v>
      </c>
      <c r="B84" s="27" t="s">
        <v>150</v>
      </c>
      <c r="C84" s="10"/>
      <c r="D84" s="27" t="s">
        <v>153</v>
      </c>
      <c r="E84" s="27" t="s">
        <v>304</v>
      </c>
      <c r="F84" s="27" t="s">
        <v>303</v>
      </c>
      <c r="G84" s="28" t="s">
        <v>306</v>
      </c>
      <c r="H84" s="6">
        <v>42703</v>
      </c>
      <c r="I84" s="10"/>
      <c r="J84" s="2"/>
      <c r="K84" s="10"/>
      <c r="L84" s="28"/>
      <c r="M84" s="6"/>
      <c r="N84" s="2"/>
    </row>
    <row r="85" spans="1:14" x14ac:dyDescent="0.2">
      <c r="A85" s="29">
        <v>60160</v>
      </c>
      <c r="B85" s="27" t="s">
        <v>151</v>
      </c>
      <c r="C85" s="10"/>
      <c r="D85" s="27" t="s">
        <v>152</v>
      </c>
      <c r="E85" s="27" t="s">
        <v>304</v>
      </c>
      <c r="F85" s="27" t="s">
        <v>303</v>
      </c>
      <c r="G85" s="28" t="s">
        <v>306</v>
      </c>
      <c r="H85" s="6">
        <v>42703</v>
      </c>
      <c r="I85" s="10"/>
      <c r="J85" s="2"/>
      <c r="K85" s="10"/>
      <c r="L85" s="28"/>
      <c r="M85" s="6"/>
      <c r="N85" s="2"/>
    </row>
    <row r="86" spans="1:14" ht="25.5" x14ac:dyDescent="0.2">
      <c r="A86" s="29">
        <v>60170</v>
      </c>
      <c r="B86" s="27" t="s">
        <v>175</v>
      </c>
      <c r="C86" s="10"/>
      <c r="D86" s="27" t="s">
        <v>176</v>
      </c>
      <c r="E86" s="27" t="s">
        <v>304</v>
      </c>
      <c r="F86" s="27" t="s">
        <v>310</v>
      </c>
      <c r="G86" s="28" t="s">
        <v>306</v>
      </c>
      <c r="H86" s="6">
        <v>42703</v>
      </c>
      <c r="I86" s="10"/>
      <c r="J86" s="2"/>
      <c r="K86" s="10"/>
      <c r="L86" s="28" t="s">
        <v>306</v>
      </c>
      <c r="M86" s="6">
        <v>42703</v>
      </c>
      <c r="N86" s="27" t="s">
        <v>352</v>
      </c>
    </row>
    <row r="87" spans="1:14" ht="25.5" x14ac:dyDescent="0.2">
      <c r="A87" s="29">
        <v>60180</v>
      </c>
      <c r="B87" s="27" t="s">
        <v>192</v>
      </c>
      <c r="C87" s="10"/>
      <c r="D87" s="27" t="s">
        <v>194</v>
      </c>
      <c r="E87" s="27" t="s">
        <v>304</v>
      </c>
      <c r="F87" s="27" t="s">
        <v>309</v>
      </c>
      <c r="G87" s="28" t="s">
        <v>306</v>
      </c>
      <c r="H87" s="6">
        <v>42703</v>
      </c>
      <c r="I87" s="10"/>
      <c r="J87" s="2"/>
      <c r="K87" s="10"/>
      <c r="L87" s="28" t="s">
        <v>306</v>
      </c>
      <c r="M87" s="6">
        <v>42703</v>
      </c>
      <c r="N87" s="2" t="s">
        <v>352</v>
      </c>
    </row>
    <row r="88" spans="1:14" x14ac:dyDescent="0.2">
      <c r="A88" s="29">
        <v>70000</v>
      </c>
      <c r="B88" s="27" t="s">
        <v>111</v>
      </c>
      <c r="C88" s="28"/>
      <c r="D88" s="2"/>
      <c r="E88" s="2"/>
      <c r="F88" s="27"/>
      <c r="G88" s="28"/>
      <c r="H88" s="6"/>
      <c r="I88" s="10"/>
      <c r="J88" s="2"/>
      <c r="K88" s="10"/>
      <c r="L88" s="28"/>
      <c r="M88" s="6"/>
      <c r="N88" s="2"/>
    </row>
    <row r="89" spans="1:14" ht="51" x14ac:dyDescent="0.2">
      <c r="A89" s="29">
        <v>70010</v>
      </c>
      <c r="B89" s="27" t="s">
        <v>112</v>
      </c>
      <c r="C89" s="28"/>
      <c r="D89" s="27" t="s">
        <v>113</v>
      </c>
      <c r="E89" s="27" t="s">
        <v>304</v>
      </c>
      <c r="F89" s="27" t="s">
        <v>303</v>
      </c>
      <c r="G89" s="28" t="s">
        <v>306</v>
      </c>
      <c r="H89" s="6">
        <v>42703</v>
      </c>
      <c r="I89" s="10"/>
      <c r="J89" s="2"/>
      <c r="K89" s="10"/>
      <c r="L89" s="28"/>
      <c r="M89" s="6"/>
      <c r="N89" s="2"/>
    </row>
    <row r="90" spans="1:14" ht="51" x14ac:dyDescent="0.2">
      <c r="A90" s="29">
        <v>70020</v>
      </c>
      <c r="B90" s="27" t="s">
        <v>114</v>
      </c>
      <c r="C90" s="28"/>
      <c r="D90" s="27" t="s">
        <v>115</v>
      </c>
      <c r="E90" s="27" t="s">
        <v>304</v>
      </c>
      <c r="F90" s="27" t="s">
        <v>303</v>
      </c>
      <c r="G90" s="28" t="s">
        <v>306</v>
      </c>
      <c r="H90" s="6">
        <v>42703</v>
      </c>
      <c r="I90" s="10"/>
      <c r="J90" s="2"/>
      <c r="K90" s="10"/>
      <c r="L90" s="28"/>
      <c r="M90" s="6"/>
      <c r="N90" s="2"/>
    </row>
    <row r="91" spans="1:14" ht="38.25" x14ac:dyDescent="0.2">
      <c r="A91" s="29">
        <v>70030</v>
      </c>
      <c r="B91" s="27" t="s">
        <v>116</v>
      </c>
      <c r="C91" s="28"/>
      <c r="D91" s="27" t="s">
        <v>117</v>
      </c>
      <c r="E91" s="27" t="s">
        <v>304</v>
      </c>
      <c r="F91" s="27" t="s">
        <v>303</v>
      </c>
      <c r="G91" s="28" t="s">
        <v>306</v>
      </c>
      <c r="H91" s="6">
        <v>42703</v>
      </c>
      <c r="I91" s="10"/>
      <c r="J91" s="2"/>
      <c r="K91" s="10"/>
      <c r="L91" s="28"/>
      <c r="M91" s="6"/>
      <c r="N91" s="2"/>
    </row>
    <row r="92" spans="1:14" x14ac:dyDescent="0.2">
      <c r="A92" s="29">
        <v>80000</v>
      </c>
      <c r="B92" s="27" t="s">
        <v>135</v>
      </c>
      <c r="C92" s="28"/>
      <c r="D92" s="2"/>
      <c r="E92" s="2"/>
      <c r="F92" s="27"/>
      <c r="G92" s="28"/>
      <c r="H92" s="6"/>
      <c r="I92" s="10"/>
      <c r="J92" s="2"/>
      <c r="K92" s="10"/>
      <c r="L92" s="28"/>
      <c r="M92" s="6"/>
      <c r="N92" s="2"/>
    </row>
    <row r="93" spans="1:14" ht="38.25" x14ac:dyDescent="0.2">
      <c r="A93" s="29">
        <v>80010</v>
      </c>
      <c r="B93" s="27" t="s">
        <v>155</v>
      </c>
      <c r="C93" s="28"/>
      <c r="D93" s="27" t="s">
        <v>178</v>
      </c>
      <c r="E93" s="27" t="s">
        <v>304</v>
      </c>
      <c r="F93" s="27" t="s">
        <v>303</v>
      </c>
      <c r="G93" s="28" t="s">
        <v>306</v>
      </c>
      <c r="H93" s="6">
        <v>42703</v>
      </c>
      <c r="I93" s="10"/>
      <c r="J93" s="2"/>
      <c r="K93" s="10"/>
      <c r="L93" s="28"/>
      <c r="M93" s="6"/>
      <c r="N93" s="2"/>
    </row>
    <row r="94" spans="1:14" ht="38.25" x14ac:dyDescent="0.2">
      <c r="A94" s="29">
        <v>80020</v>
      </c>
      <c r="B94" s="27" t="s">
        <v>177</v>
      </c>
      <c r="C94" s="28"/>
      <c r="D94" s="27" t="s">
        <v>179</v>
      </c>
      <c r="E94" s="27" t="s">
        <v>304</v>
      </c>
      <c r="F94" s="27" t="s">
        <v>303</v>
      </c>
      <c r="G94" s="28" t="s">
        <v>306</v>
      </c>
      <c r="H94" s="6">
        <v>42703</v>
      </c>
      <c r="I94" s="10"/>
      <c r="J94" s="2"/>
      <c r="K94" s="10"/>
      <c r="L94" s="28"/>
      <c r="M94" s="6"/>
      <c r="N94" s="2"/>
    </row>
    <row r="95" spans="1:14" ht="51" x14ac:dyDescent="0.2">
      <c r="A95" s="47">
        <v>80030</v>
      </c>
      <c r="B95" s="48" t="s">
        <v>180</v>
      </c>
      <c r="C95" s="50"/>
      <c r="D95" s="48" t="s">
        <v>311</v>
      </c>
      <c r="E95" s="48" t="s">
        <v>304</v>
      </c>
      <c r="F95" s="48" t="s">
        <v>303</v>
      </c>
      <c r="G95" s="50" t="s">
        <v>306</v>
      </c>
      <c r="H95" s="51">
        <v>42703</v>
      </c>
      <c r="I95" s="49"/>
      <c r="J95" s="52"/>
      <c r="K95" s="49"/>
      <c r="L95" s="50" t="s">
        <v>306</v>
      </c>
      <c r="M95" s="51">
        <v>42762</v>
      </c>
      <c r="N95" s="48" t="s">
        <v>467</v>
      </c>
    </row>
    <row r="96" spans="1:14" ht="51" x14ac:dyDescent="0.2">
      <c r="A96" s="29">
        <v>80040</v>
      </c>
      <c r="B96" s="27" t="s">
        <v>181</v>
      </c>
      <c r="C96" s="28"/>
      <c r="D96" s="27" t="s">
        <v>312</v>
      </c>
      <c r="E96" s="27" t="s">
        <v>304</v>
      </c>
      <c r="F96" s="27" t="s">
        <v>303</v>
      </c>
      <c r="G96" s="28" t="s">
        <v>306</v>
      </c>
      <c r="H96" s="6">
        <v>42703</v>
      </c>
      <c r="I96" s="10"/>
      <c r="J96" s="2"/>
      <c r="K96" s="10"/>
      <c r="L96" s="28"/>
      <c r="M96" s="6"/>
      <c r="N96" s="2"/>
    </row>
    <row r="97" spans="1:14" ht="38.25" x14ac:dyDescent="0.2">
      <c r="A97" s="29">
        <v>80050</v>
      </c>
      <c r="B97" s="27" t="s">
        <v>182</v>
      </c>
      <c r="C97" s="28"/>
      <c r="D97" s="27" t="s">
        <v>313</v>
      </c>
      <c r="E97" s="27" t="s">
        <v>304</v>
      </c>
      <c r="F97" s="27" t="s">
        <v>303</v>
      </c>
      <c r="G97" s="28" t="s">
        <v>306</v>
      </c>
      <c r="H97" s="6">
        <v>42703</v>
      </c>
      <c r="I97" s="10"/>
      <c r="J97" s="2"/>
      <c r="K97" s="10"/>
      <c r="L97" s="28"/>
      <c r="M97" s="6"/>
      <c r="N97" s="2"/>
    </row>
    <row r="98" spans="1:14" ht="25.5" x14ac:dyDescent="0.2">
      <c r="A98" s="29">
        <v>80060</v>
      </c>
      <c r="B98" s="27" t="s">
        <v>183</v>
      </c>
      <c r="C98" s="28"/>
      <c r="D98" s="27" t="s">
        <v>184</v>
      </c>
      <c r="E98" s="27" t="s">
        <v>304</v>
      </c>
      <c r="F98" s="27" t="s">
        <v>303</v>
      </c>
      <c r="G98" s="28" t="s">
        <v>306</v>
      </c>
      <c r="H98" s="6">
        <v>42703</v>
      </c>
      <c r="I98" s="10"/>
      <c r="J98" s="2"/>
      <c r="K98" s="10"/>
      <c r="L98" s="28"/>
      <c r="M98" s="6"/>
      <c r="N98" s="2"/>
    </row>
    <row r="99" spans="1:14" ht="38.25" x14ac:dyDescent="0.2">
      <c r="A99" s="29">
        <v>80070</v>
      </c>
      <c r="B99" s="27" t="s">
        <v>185</v>
      </c>
      <c r="C99" s="28"/>
      <c r="D99" s="27" t="s">
        <v>314</v>
      </c>
      <c r="E99" s="27" t="s">
        <v>304</v>
      </c>
      <c r="F99" s="27" t="s">
        <v>303</v>
      </c>
      <c r="G99" s="28" t="s">
        <v>306</v>
      </c>
      <c r="H99" s="6">
        <v>42703</v>
      </c>
      <c r="I99" s="10"/>
      <c r="J99" s="2"/>
      <c r="K99" s="10"/>
      <c r="L99" s="28"/>
      <c r="M99" s="6"/>
      <c r="N99" s="2"/>
    </row>
    <row r="100" spans="1:14" ht="25.5" x14ac:dyDescent="0.2">
      <c r="A100" s="29">
        <v>80080</v>
      </c>
      <c r="B100" s="27" t="s">
        <v>186</v>
      </c>
      <c r="C100" s="28"/>
      <c r="D100" s="27" t="s">
        <v>188</v>
      </c>
      <c r="E100" s="27" t="s">
        <v>304</v>
      </c>
      <c r="F100" s="27" t="s">
        <v>303</v>
      </c>
      <c r="G100" s="28" t="s">
        <v>306</v>
      </c>
      <c r="H100" s="6">
        <v>42703</v>
      </c>
      <c r="I100" s="10"/>
      <c r="J100" s="2"/>
      <c r="K100" s="10"/>
      <c r="L100" s="28"/>
      <c r="M100" s="6"/>
      <c r="N100" s="2"/>
    </row>
    <row r="101" spans="1:14" ht="38.25" x14ac:dyDescent="0.2">
      <c r="A101" s="29">
        <v>80090</v>
      </c>
      <c r="B101" s="27" t="s">
        <v>187</v>
      </c>
      <c r="C101" s="28"/>
      <c r="D101" s="27" t="s">
        <v>189</v>
      </c>
      <c r="E101" s="27" t="s">
        <v>304</v>
      </c>
      <c r="F101" s="27" t="s">
        <v>303</v>
      </c>
      <c r="G101" s="28" t="s">
        <v>306</v>
      </c>
      <c r="H101" s="6">
        <v>42703</v>
      </c>
      <c r="I101" s="10"/>
      <c r="J101" s="2"/>
      <c r="K101" s="10"/>
      <c r="L101" s="28"/>
      <c r="M101" s="6"/>
      <c r="N101" s="2"/>
    </row>
    <row r="102" spans="1:14" ht="51" x14ac:dyDescent="0.2">
      <c r="A102" s="29">
        <v>80100</v>
      </c>
      <c r="B102" s="27" t="s">
        <v>190</v>
      </c>
      <c r="C102" s="28"/>
      <c r="D102" s="27" t="s">
        <v>191</v>
      </c>
      <c r="E102" s="27" t="s">
        <v>304</v>
      </c>
      <c r="F102" s="27" t="s">
        <v>303</v>
      </c>
      <c r="G102" s="28" t="s">
        <v>306</v>
      </c>
      <c r="H102" s="6">
        <v>42703</v>
      </c>
      <c r="I102" s="10"/>
      <c r="J102" s="2"/>
      <c r="K102" s="10"/>
      <c r="L102" s="28"/>
      <c r="M102" s="6"/>
      <c r="N102" s="2"/>
    </row>
    <row r="103" spans="1:14" ht="25.5" x14ac:dyDescent="0.2">
      <c r="A103" s="29">
        <v>80110</v>
      </c>
      <c r="B103" s="27" t="s">
        <v>192</v>
      </c>
      <c r="C103" s="28"/>
      <c r="D103" s="27" t="s">
        <v>193</v>
      </c>
      <c r="E103" s="27" t="s">
        <v>304</v>
      </c>
      <c r="F103" s="27" t="s">
        <v>303</v>
      </c>
      <c r="G103" s="28" t="s">
        <v>306</v>
      </c>
      <c r="H103" s="6">
        <v>42703</v>
      </c>
      <c r="I103" s="10"/>
      <c r="J103" s="2"/>
      <c r="K103" s="10"/>
      <c r="L103" s="28"/>
      <c r="M103" s="6"/>
      <c r="N103" s="2"/>
    </row>
    <row r="104" spans="1:14" x14ac:dyDescent="0.2">
      <c r="A104" s="29">
        <v>90000</v>
      </c>
      <c r="B104" s="27" t="s">
        <v>205</v>
      </c>
      <c r="C104" s="28"/>
      <c r="D104" s="2"/>
      <c r="E104" s="2"/>
      <c r="F104" s="27"/>
      <c r="G104" s="28"/>
      <c r="H104" s="6"/>
      <c r="I104" s="10"/>
      <c r="J104" s="2"/>
      <c r="K104" s="10"/>
      <c r="L104" s="28"/>
      <c r="M104" s="6"/>
      <c r="N104" s="2"/>
    </row>
    <row r="105" spans="1:14" ht="25.5" x14ac:dyDescent="0.2">
      <c r="A105" s="29">
        <v>90010</v>
      </c>
      <c r="B105" s="27" t="s">
        <v>195</v>
      </c>
      <c r="C105" s="28"/>
      <c r="D105" s="27" t="s">
        <v>196</v>
      </c>
      <c r="E105" s="27" t="s">
        <v>304</v>
      </c>
      <c r="F105" s="27" t="s">
        <v>303</v>
      </c>
      <c r="G105" s="28" t="s">
        <v>306</v>
      </c>
      <c r="H105" s="6">
        <v>42707</v>
      </c>
      <c r="I105" s="10"/>
      <c r="J105" s="2"/>
      <c r="K105" s="10"/>
      <c r="L105" s="28"/>
      <c r="M105" s="6"/>
      <c r="N105" s="2"/>
    </row>
    <row r="106" spans="1:14" ht="38.25" x14ac:dyDescent="0.2">
      <c r="A106" s="29">
        <v>90020</v>
      </c>
      <c r="B106" s="27" t="s">
        <v>197</v>
      </c>
      <c r="C106" s="28"/>
      <c r="D106" s="27" t="s">
        <v>198</v>
      </c>
      <c r="E106" s="27" t="s">
        <v>304</v>
      </c>
      <c r="F106" s="27" t="s">
        <v>303</v>
      </c>
      <c r="G106" s="28" t="s">
        <v>306</v>
      </c>
      <c r="H106" s="6">
        <v>42707</v>
      </c>
      <c r="I106" s="10"/>
      <c r="J106" s="2"/>
      <c r="K106" s="10"/>
      <c r="L106" s="28"/>
      <c r="M106" s="6"/>
      <c r="N106" s="2"/>
    </row>
    <row r="107" spans="1:14" ht="38.25" x14ac:dyDescent="0.2">
      <c r="A107" s="29">
        <v>90030</v>
      </c>
      <c r="B107" s="27" t="s">
        <v>199</v>
      </c>
      <c r="C107" s="28"/>
      <c r="D107" s="27" t="s">
        <v>200</v>
      </c>
      <c r="E107" s="27" t="s">
        <v>304</v>
      </c>
      <c r="F107" s="27" t="s">
        <v>303</v>
      </c>
      <c r="G107" s="28" t="s">
        <v>306</v>
      </c>
      <c r="H107" s="6">
        <v>42707</v>
      </c>
      <c r="I107" s="10"/>
      <c r="J107" s="2"/>
      <c r="K107" s="10"/>
      <c r="L107" s="28"/>
      <c r="M107" s="6"/>
      <c r="N107" s="2"/>
    </row>
    <row r="108" spans="1:14" x14ac:dyDescent="0.2">
      <c r="A108" s="29">
        <v>90040</v>
      </c>
      <c r="B108" s="27" t="s">
        <v>183</v>
      </c>
      <c r="C108" s="28"/>
      <c r="D108" s="27" t="s">
        <v>201</v>
      </c>
      <c r="E108" s="27" t="s">
        <v>304</v>
      </c>
      <c r="F108" s="27" t="s">
        <v>303</v>
      </c>
      <c r="G108" s="28" t="s">
        <v>306</v>
      </c>
      <c r="H108" s="6">
        <v>42707</v>
      </c>
      <c r="I108" s="10"/>
      <c r="J108" s="2"/>
      <c r="K108" s="10"/>
      <c r="L108" s="28"/>
      <c r="M108" s="6"/>
      <c r="N108" s="2"/>
    </row>
    <row r="109" spans="1:14" ht="25.5" x14ac:dyDescent="0.2">
      <c r="A109" s="29">
        <v>90050</v>
      </c>
      <c r="B109" s="27" t="s">
        <v>202</v>
      </c>
      <c r="C109" s="28"/>
      <c r="D109" s="27" t="s">
        <v>203</v>
      </c>
      <c r="E109" s="27" t="s">
        <v>304</v>
      </c>
      <c r="F109" s="27" t="s">
        <v>303</v>
      </c>
      <c r="G109" s="28" t="s">
        <v>306</v>
      </c>
      <c r="H109" s="6">
        <v>42707</v>
      </c>
      <c r="I109" s="10"/>
      <c r="J109" s="2"/>
      <c r="K109" s="10"/>
      <c r="L109" s="28"/>
      <c r="M109" s="6"/>
      <c r="N109" s="2"/>
    </row>
    <row r="110" spans="1:14" ht="38.25" x14ac:dyDescent="0.2">
      <c r="A110" s="29">
        <v>90060</v>
      </c>
      <c r="B110" s="27" t="s">
        <v>204</v>
      </c>
      <c r="C110" s="28"/>
      <c r="D110" s="27" t="s">
        <v>206</v>
      </c>
      <c r="E110" s="27" t="s">
        <v>304</v>
      </c>
      <c r="F110" s="27" t="s">
        <v>303</v>
      </c>
      <c r="G110" s="28" t="s">
        <v>306</v>
      </c>
      <c r="H110" s="6">
        <v>42707</v>
      </c>
      <c r="I110" s="10"/>
      <c r="J110" s="2"/>
      <c r="K110" s="10"/>
      <c r="L110" s="28"/>
      <c r="M110" s="6"/>
      <c r="N110" s="2"/>
    </row>
    <row r="111" spans="1:14" ht="38.25" x14ac:dyDescent="0.2">
      <c r="A111" s="29">
        <v>90070</v>
      </c>
      <c r="B111" s="27" t="s">
        <v>207</v>
      </c>
      <c r="C111" s="28"/>
      <c r="D111" s="27" t="s">
        <v>208</v>
      </c>
      <c r="E111" s="27" t="s">
        <v>304</v>
      </c>
      <c r="F111" s="27" t="s">
        <v>303</v>
      </c>
      <c r="G111" s="28" t="s">
        <v>306</v>
      </c>
      <c r="H111" s="6">
        <v>42707</v>
      </c>
      <c r="I111" s="10"/>
      <c r="J111" s="2"/>
      <c r="K111" s="10"/>
      <c r="L111" s="28"/>
      <c r="M111" s="6"/>
      <c r="N111" s="2"/>
    </row>
    <row r="112" spans="1:14" ht="25.5" x14ac:dyDescent="0.2">
      <c r="A112" s="29">
        <v>90080</v>
      </c>
      <c r="B112" s="27" t="s">
        <v>209</v>
      </c>
      <c r="C112" s="28"/>
      <c r="D112" s="27" t="s">
        <v>210</v>
      </c>
      <c r="E112" s="27" t="s">
        <v>304</v>
      </c>
      <c r="F112" s="27" t="s">
        <v>303</v>
      </c>
      <c r="G112" s="28" t="s">
        <v>306</v>
      </c>
      <c r="H112" s="6">
        <v>42707</v>
      </c>
      <c r="I112" s="10"/>
      <c r="J112" s="2"/>
      <c r="K112" s="10"/>
      <c r="L112" s="28"/>
      <c r="M112" s="6"/>
      <c r="N112" s="2"/>
    </row>
    <row r="113" spans="1:14" ht="25.5" x14ac:dyDescent="0.2">
      <c r="A113" s="29">
        <v>90090</v>
      </c>
      <c r="B113" s="27" t="s">
        <v>211</v>
      </c>
      <c r="C113" s="28"/>
      <c r="D113" s="27" t="s">
        <v>212</v>
      </c>
      <c r="E113" s="27" t="s">
        <v>304</v>
      </c>
      <c r="F113" s="27" t="s">
        <v>303</v>
      </c>
      <c r="G113" s="28" t="s">
        <v>306</v>
      </c>
      <c r="H113" s="6">
        <v>42707</v>
      </c>
      <c r="I113" s="10"/>
      <c r="J113" s="2"/>
      <c r="K113" s="10"/>
      <c r="L113" s="28"/>
      <c r="M113" s="6"/>
      <c r="N113" s="2"/>
    </row>
    <row r="114" spans="1:14" ht="38.25" x14ac:dyDescent="0.2">
      <c r="A114" s="29">
        <v>90100</v>
      </c>
      <c r="B114" s="27" t="s">
        <v>213</v>
      </c>
      <c r="C114" s="28"/>
      <c r="D114" s="27" t="s">
        <v>214</v>
      </c>
      <c r="E114" s="27" t="s">
        <v>304</v>
      </c>
      <c r="F114" s="27" t="s">
        <v>303</v>
      </c>
      <c r="G114" s="28" t="s">
        <v>306</v>
      </c>
      <c r="H114" s="6">
        <v>42707</v>
      </c>
      <c r="I114" s="10"/>
      <c r="J114" s="2"/>
      <c r="K114" s="10"/>
      <c r="L114" s="28"/>
      <c r="M114" s="6"/>
      <c r="N114" s="2"/>
    </row>
    <row r="115" spans="1:14" ht="25.5" x14ac:dyDescent="0.2">
      <c r="A115" s="29">
        <v>90110</v>
      </c>
      <c r="B115" s="27" t="s">
        <v>364</v>
      </c>
      <c r="C115" s="28"/>
      <c r="D115" s="27" t="s">
        <v>368</v>
      </c>
      <c r="E115" s="27" t="s">
        <v>304</v>
      </c>
      <c r="F115" s="27" t="s">
        <v>303</v>
      </c>
      <c r="G115" s="28" t="s">
        <v>306</v>
      </c>
      <c r="H115" s="6">
        <v>42707</v>
      </c>
      <c r="I115" s="10"/>
      <c r="J115" s="2"/>
      <c r="K115" s="10"/>
      <c r="L115" s="28"/>
      <c r="M115" s="6"/>
      <c r="N115" s="2"/>
    </row>
    <row r="116" spans="1:14" ht="38.25" x14ac:dyDescent="0.2">
      <c r="A116" s="29">
        <v>90120</v>
      </c>
      <c r="B116" s="27" t="s">
        <v>365</v>
      </c>
      <c r="C116" s="28"/>
      <c r="D116" s="27" t="s">
        <v>369</v>
      </c>
      <c r="E116" s="27" t="s">
        <v>304</v>
      </c>
      <c r="F116" s="27" t="s">
        <v>303</v>
      </c>
      <c r="G116" s="28" t="s">
        <v>306</v>
      </c>
      <c r="H116" s="6">
        <v>42707</v>
      </c>
      <c r="I116" s="10"/>
      <c r="J116" s="2"/>
      <c r="K116" s="10"/>
      <c r="L116" s="28"/>
      <c r="M116" s="6"/>
      <c r="N116" s="2"/>
    </row>
    <row r="117" spans="1:14" ht="38.25" x14ac:dyDescent="0.2">
      <c r="A117" s="29">
        <v>90130</v>
      </c>
      <c r="B117" s="27" t="s">
        <v>366</v>
      </c>
      <c r="C117" s="28"/>
      <c r="D117" s="27" t="s">
        <v>370</v>
      </c>
      <c r="E117" s="27" t="s">
        <v>304</v>
      </c>
      <c r="F117" s="27" t="s">
        <v>303</v>
      </c>
      <c r="G117" s="28" t="s">
        <v>306</v>
      </c>
      <c r="H117" s="6">
        <v>42707</v>
      </c>
      <c r="I117" s="10"/>
      <c r="J117" s="2"/>
      <c r="K117" s="10"/>
      <c r="L117" s="28"/>
      <c r="M117" s="6"/>
      <c r="N117" s="2"/>
    </row>
    <row r="118" spans="1:14" ht="51" x14ac:dyDescent="0.2">
      <c r="A118" s="29">
        <v>90140</v>
      </c>
      <c r="B118" s="27" t="s">
        <v>367</v>
      </c>
      <c r="C118" s="28"/>
      <c r="D118" s="27" t="s">
        <v>371</v>
      </c>
      <c r="E118" s="27" t="s">
        <v>304</v>
      </c>
      <c r="F118" s="27" t="s">
        <v>303</v>
      </c>
      <c r="G118" s="28" t="s">
        <v>306</v>
      </c>
      <c r="H118" s="6">
        <v>42707</v>
      </c>
      <c r="I118" s="10"/>
      <c r="J118" s="2"/>
      <c r="K118" s="10"/>
      <c r="L118" s="28"/>
      <c r="M118" s="6"/>
      <c r="N118" s="2"/>
    </row>
    <row r="119" spans="1:14" ht="51" x14ac:dyDescent="0.2">
      <c r="A119" s="29">
        <v>90150</v>
      </c>
      <c r="B119" s="27" t="s">
        <v>372</v>
      </c>
      <c r="C119" s="28"/>
      <c r="D119" s="27" t="s">
        <v>375</v>
      </c>
      <c r="E119" s="27" t="s">
        <v>304</v>
      </c>
      <c r="F119" s="27" t="s">
        <v>303</v>
      </c>
      <c r="G119" s="28" t="s">
        <v>306</v>
      </c>
      <c r="H119" s="6">
        <v>42707</v>
      </c>
      <c r="I119" s="10"/>
      <c r="J119" s="2"/>
      <c r="K119" s="10"/>
      <c r="L119" s="28"/>
      <c r="M119" s="6"/>
      <c r="N119" s="2"/>
    </row>
    <row r="120" spans="1:14" ht="63.75" x14ac:dyDescent="0.2">
      <c r="A120" s="29">
        <v>90160</v>
      </c>
      <c r="B120" s="27" t="s">
        <v>373</v>
      </c>
      <c r="C120" s="28"/>
      <c r="D120" s="27" t="s">
        <v>374</v>
      </c>
      <c r="E120" s="27" t="s">
        <v>304</v>
      </c>
      <c r="F120" s="27" t="s">
        <v>303</v>
      </c>
      <c r="G120" s="28" t="s">
        <v>306</v>
      </c>
      <c r="H120" s="6">
        <v>42707</v>
      </c>
      <c r="I120" s="10"/>
      <c r="J120" s="2"/>
      <c r="K120" s="10"/>
      <c r="L120" s="28"/>
      <c r="M120" s="6"/>
      <c r="N120" s="2"/>
    </row>
    <row r="121" spans="1:14" ht="25.5" x14ac:dyDescent="0.2">
      <c r="A121" s="29">
        <v>90170</v>
      </c>
      <c r="B121" s="27" t="s">
        <v>215</v>
      </c>
      <c r="C121" s="28"/>
      <c r="D121" s="27" t="s">
        <v>216</v>
      </c>
      <c r="E121" s="27" t="s">
        <v>304</v>
      </c>
      <c r="F121" s="27" t="s">
        <v>303</v>
      </c>
      <c r="G121" s="28" t="s">
        <v>306</v>
      </c>
      <c r="H121" s="6">
        <v>42710</v>
      </c>
      <c r="I121" s="10"/>
      <c r="J121" s="2"/>
      <c r="K121" s="10"/>
      <c r="L121" s="28"/>
      <c r="M121" s="6"/>
      <c r="N121" s="2"/>
    </row>
    <row r="122" spans="1:14" ht="38.25" x14ac:dyDescent="0.2">
      <c r="A122" s="29">
        <v>90180</v>
      </c>
      <c r="B122" s="27" t="s">
        <v>217</v>
      </c>
      <c r="C122" s="28"/>
      <c r="D122" s="27" t="s">
        <v>218</v>
      </c>
      <c r="E122" s="27" t="s">
        <v>304</v>
      </c>
      <c r="F122" s="27" t="s">
        <v>303</v>
      </c>
      <c r="G122" s="28" t="s">
        <v>306</v>
      </c>
      <c r="H122" s="6">
        <v>42710</v>
      </c>
      <c r="I122" s="10"/>
      <c r="J122" s="2"/>
      <c r="K122" s="10"/>
      <c r="L122" s="28"/>
      <c r="M122" s="6"/>
      <c r="N122" s="2"/>
    </row>
    <row r="123" spans="1:14" ht="63.75" x14ac:dyDescent="0.2">
      <c r="A123" s="29">
        <v>90190</v>
      </c>
      <c r="B123" s="27" t="s">
        <v>219</v>
      </c>
      <c r="C123" s="28"/>
      <c r="D123" s="27" t="s">
        <v>220</v>
      </c>
      <c r="E123" s="27" t="s">
        <v>304</v>
      </c>
      <c r="F123" s="27" t="s">
        <v>303</v>
      </c>
      <c r="G123" s="28" t="s">
        <v>306</v>
      </c>
      <c r="H123" s="6">
        <v>42703</v>
      </c>
      <c r="I123" s="10"/>
      <c r="J123" s="2"/>
      <c r="K123" s="10"/>
      <c r="L123" s="28"/>
      <c r="M123" s="6"/>
      <c r="N123" s="2"/>
    </row>
    <row r="124" spans="1:14" ht="63.75" x14ac:dyDescent="0.2">
      <c r="A124" s="29">
        <v>90200</v>
      </c>
      <c r="B124" s="27" t="s">
        <v>221</v>
      </c>
      <c r="C124" s="28"/>
      <c r="D124" s="27" t="s">
        <v>222</v>
      </c>
      <c r="E124" s="27" t="s">
        <v>304</v>
      </c>
      <c r="F124" s="27" t="s">
        <v>303</v>
      </c>
      <c r="G124" s="28" t="s">
        <v>306</v>
      </c>
      <c r="H124" s="6">
        <v>42703</v>
      </c>
      <c r="I124" s="10"/>
      <c r="J124" s="2"/>
      <c r="K124" s="10"/>
      <c r="L124" s="28"/>
      <c r="M124" s="6"/>
      <c r="N124" s="2"/>
    </row>
    <row r="125" spans="1:14" ht="25.5" x14ac:dyDescent="0.2">
      <c r="A125" s="29">
        <v>90210</v>
      </c>
      <c r="B125" s="27" t="s">
        <v>325</v>
      </c>
      <c r="C125" s="28"/>
      <c r="D125" s="27" t="s">
        <v>326</v>
      </c>
      <c r="E125" s="27" t="s">
        <v>304</v>
      </c>
      <c r="F125" s="27" t="s">
        <v>327</v>
      </c>
      <c r="G125" s="28" t="s">
        <v>306</v>
      </c>
      <c r="H125" s="6">
        <v>42703</v>
      </c>
      <c r="I125" s="10"/>
      <c r="J125" s="2"/>
      <c r="K125" s="10"/>
      <c r="L125" s="28" t="s">
        <v>395</v>
      </c>
      <c r="M125" s="6">
        <v>42710</v>
      </c>
      <c r="N125" s="2"/>
    </row>
    <row r="126" spans="1:14" ht="25.5" x14ac:dyDescent="0.2">
      <c r="A126" s="29">
        <v>90220</v>
      </c>
      <c r="B126" s="27" t="s">
        <v>328</v>
      </c>
      <c r="C126" s="28"/>
      <c r="D126" s="27" t="s">
        <v>329</v>
      </c>
      <c r="E126" s="27" t="s">
        <v>304</v>
      </c>
      <c r="F126" s="27" t="s">
        <v>303</v>
      </c>
      <c r="G126" s="28" t="s">
        <v>306</v>
      </c>
      <c r="H126" s="6">
        <v>42703</v>
      </c>
      <c r="I126" s="10"/>
      <c r="J126" s="2"/>
      <c r="K126" s="10"/>
      <c r="L126" s="28"/>
      <c r="M126" s="6"/>
      <c r="N126" s="2"/>
    </row>
    <row r="127" spans="1:14" ht="51" x14ac:dyDescent="0.2">
      <c r="A127" s="29">
        <v>90230</v>
      </c>
      <c r="B127" s="27" t="s">
        <v>223</v>
      </c>
      <c r="C127" s="28"/>
      <c r="D127" s="27" t="s">
        <v>224</v>
      </c>
      <c r="E127" s="27" t="s">
        <v>304</v>
      </c>
      <c r="F127" s="27" t="s">
        <v>303</v>
      </c>
      <c r="G127" s="28" t="s">
        <v>306</v>
      </c>
      <c r="H127" s="6">
        <v>42710</v>
      </c>
      <c r="I127" s="10"/>
      <c r="J127" s="2"/>
      <c r="K127" s="10"/>
      <c r="L127" s="28"/>
      <c r="M127" s="6"/>
      <c r="N127" s="2"/>
    </row>
    <row r="128" spans="1:14" ht="25.5" x14ac:dyDescent="0.2">
      <c r="A128" s="29">
        <v>90240</v>
      </c>
      <c r="B128" s="27" t="s">
        <v>225</v>
      </c>
      <c r="C128" s="28"/>
      <c r="D128" s="27" t="s">
        <v>226</v>
      </c>
      <c r="E128" s="27" t="s">
        <v>304</v>
      </c>
      <c r="F128" s="27" t="s">
        <v>303</v>
      </c>
      <c r="G128" s="28" t="s">
        <v>306</v>
      </c>
      <c r="H128" s="6">
        <v>42710</v>
      </c>
      <c r="I128" s="10"/>
      <c r="J128" s="2"/>
      <c r="K128" s="10"/>
      <c r="L128" s="28"/>
      <c r="M128" s="6"/>
      <c r="N128" s="2"/>
    </row>
    <row r="129" spans="1:14" ht="51" x14ac:dyDescent="0.2">
      <c r="A129" s="29">
        <v>90250</v>
      </c>
      <c r="B129" s="27" t="s">
        <v>227</v>
      </c>
      <c r="C129" s="28"/>
      <c r="D129" s="27" t="s">
        <v>228</v>
      </c>
      <c r="E129" s="27" t="s">
        <v>304</v>
      </c>
      <c r="F129" s="27" t="s">
        <v>303</v>
      </c>
      <c r="G129" s="28" t="s">
        <v>306</v>
      </c>
      <c r="H129" s="6">
        <v>42710</v>
      </c>
      <c r="I129" s="10"/>
      <c r="J129" s="2"/>
      <c r="K129" s="10"/>
      <c r="L129" s="28"/>
      <c r="M129" s="6"/>
      <c r="N129" s="2"/>
    </row>
    <row r="130" spans="1:14" ht="63.75" x14ac:dyDescent="0.2">
      <c r="A130" s="29">
        <v>90260</v>
      </c>
      <c r="B130" s="27" t="s">
        <v>230</v>
      </c>
      <c r="C130" s="28"/>
      <c r="D130" s="27" t="s">
        <v>231</v>
      </c>
      <c r="E130" s="27" t="s">
        <v>304</v>
      </c>
      <c r="F130" s="27" t="s">
        <v>303</v>
      </c>
      <c r="G130" s="28" t="s">
        <v>306</v>
      </c>
      <c r="H130" s="6">
        <v>42707</v>
      </c>
      <c r="I130" s="10"/>
      <c r="J130" s="2"/>
      <c r="K130" s="10"/>
      <c r="L130" s="28"/>
      <c r="M130" s="6"/>
      <c r="N130" s="2"/>
    </row>
    <row r="131" spans="1:14" ht="25.5" x14ac:dyDescent="0.2">
      <c r="A131" s="29">
        <v>90270</v>
      </c>
      <c r="B131" s="27" t="s">
        <v>183</v>
      </c>
      <c r="C131" s="28"/>
      <c r="D131" s="27" t="s">
        <v>232</v>
      </c>
      <c r="E131" s="27" t="s">
        <v>304</v>
      </c>
      <c r="F131" s="27" t="s">
        <v>303</v>
      </c>
      <c r="G131" s="28" t="s">
        <v>306</v>
      </c>
      <c r="H131" s="6">
        <v>42707</v>
      </c>
      <c r="I131" s="10"/>
      <c r="J131" s="2"/>
      <c r="K131" s="10"/>
      <c r="L131" s="28"/>
      <c r="M131" s="6"/>
      <c r="N131" s="2"/>
    </row>
    <row r="132" spans="1:14" ht="38.25" x14ac:dyDescent="0.2">
      <c r="A132" s="29">
        <v>90280</v>
      </c>
      <c r="B132" s="27" t="s">
        <v>233</v>
      </c>
      <c r="C132" s="28"/>
      <c r="D132" s="27" t="s">
        <v>234</v>
      </c>
      <c r="E132" s="27" t="s">
        <v>304</v>
      </c>
      <c r="F132" s="27" t="s">
        <v>303</v>
      </c>
      <c r="G132" s="28" t="s">
        <v>306</v>
      </c>
      <c r="H132" s="6">
        <v>42707</v>
      </c>
      <c r="I132" s="10"/>
      <c r="J132" s="2"/>
      <c r="K132" s="10"/>
      <c r="L132" s="28"/>
      <c r="M132" s="6"/>
      <c r="N132" s="2"/>
    </row>
    <row r="133" spans="1:14" ht="25.5" x14ac:dyDescent="0.2">
      <c r="A133" s="29">
        <v>90290</v>
      </c>
      <c r="B133" s="27" t="s">
        <v>235</v>
      </c>
      <c r="C133" s="28"/>
      <c r="D133" s="27" t="s">
        <v>236</v>
      </c>
      <c r="E133" s="27" t="s">
        <v>304</v>
      </c>
      <c r="F133" s="27" t="s">
        <v>303</v>
      </c>
      <c r="G133" s="28" t="s">
        <v>306</v>
      </c>
      <c r="H133" s="6">
        <v>42707</v>
      </c>
      <c r="I133" s="10"/>
      <c r="J133" s="2"/>
      <c r="K133" s="10"/>
      <c r="L133" s="28"/>
      <c r="M133" s="6"/>
      <c r="N133" s="2"/>
    </row>
    <row r="134" spans="1:14" ht="25.5" x14ac:dyDescent="0.2">
      <c r="A134" s="29">
        <v>90300</v>
      </c>
      <c r="B134" s="27" t="s">
        <v>237</v>
      </c>
      <c r="C134" s="28"/>
      <c r="D134" s="27" t="s">
        <v>238</v>
      </c>
      <c r="E134" s="27" t="s">
        <v>304</v>
      </c>
      <c r="F134" s="27" t="s">
        <v>303</v>
      </c>
      <c r="G134" s="28" t="s">
        <v>306</v>
      </c>
      <c r="H134" s="6">
        <v>42707</v>
      </c>
      <c r="I134" s="10"/>
      <c r="J134" s="2"/>
      <c r="K134" s="10"/>
      <c r="L134" s="28"/>
      <c r="M134" s="6"/>
      <c r="N134" s="2"/>
    </row>
    <row r="135" spans="1:14" ht="25.5" x14ac:dyDescent="0.2">
      <c r="A135" s="29">
        <v>90310</v>
      </c>
      <c r="B135" s="27" t="s">
        <v>239</v>
      </c>
      <c r="C135" s="28"/>
      <c r="D135" s="27" t="s">
        <v>240</v>
      </c>
      <c r="E135" s="27" t="s">
        <v>304</v>
      </c>
      <c r="F135" s="27" t="s">
        <v>303</v>
      </c>
      <c r="G135" s="28" t="s">
        <v>306</v>
      </c>
      <c r="H135" s="6">
        <v>42707</v>
      </c>
      <c r="I135" s="10"/>
      <c r="J135" s="2"/>
      <c r="K135" s="10"/>
      <c r="L135" s="28"/>
      <c r="M135" s="6"/>
      <c r="N135" s="2"/>
    </row>
    <row r="136" spans="1:14" ht="51" x14ac:dyDescent="0.2">
      <c r="A136" s="29">
        <v>90320</v>
      </c>
      <c r="B136" s="27" t="s">
        <v>241</v>
      </c>
      <c r="C136" s="28"/>
      <c r="D136" s="27" t="s">
        <v>242</v>
      </c>
      <c r="E136" s="27" t="s">
        <v>304</v>
      </c>
      <c r="F136" s="27" t="s">
        <v>303</v>
      </c>
      <c r="G136" s="28" t="s">
        <v>306</v>
      </c>
      <c r="H136" s="6">
        <v>42707</v>
      </c>
      <c r="I136" s="10"/>
      <c r="J136" s="2"/>
      <c r="K136" s="10"/>
      <c r="L136" s="28"/>
      <c r="M136" s="6"/>
      <c r="N136" s="2"/>
    </row>
    <row r="137" spans="1:14" ht="38.25" x14ac:dyDescent="0.2">
      <c r="A137" s="29">
        <v>90330</v>
      </c>
      <c r="B137" s="27" t="s">
        <v>243</v>
      </c>
      <c r="C137" s="28"/>
      <c r="D137" s="27" t="s">
        <v>244</v>
      </c>
      <c r="E137" s="27" t="s">
        <v>304</v>
      </c>
      <c r="F137" s="27" t="s">
        <v>303</v>
      </c>
      <c r="G137" s="28" t="s">
        <v>306</v>
      </c>
      <c r="H137" s="6">
        <v>42707</v>
      </c>
      <c r="I137" s="10"/>
      <c r="J137" s="2"/>
      <c r="K137" s="10"/>
      <c r="L137" s="28"/>
      <c r="M137" s="6"/>
      <c r="N137" s="2"/>
    </row>
    <row r="138" spans="1:14" ht="25.5" x14ac:dyDescent="0.2">
      <c r="A138" s="29">
        <v>90340</v>
      </c>
      <c r="B138" s="27" t="s">
        <v>245</v>
      </c>
      <c r="C138" s="28"/>
      <c r="D138" s="27" t="s">
        <v>246</v>
      </c>
      <c r="E138" s="27" t="s">
        <v>304</v>
      </c>
      <c r="F138" s="27" t="s">
        <v>303</v>
      </c>
      <c r="G138" s="28" t="s">
        <v>306</v>
      </c>
      <c r="H138" s="6">
        <v>42710</v>
      </c>
      <c r="I138" s="10"/>
      <c r="J138" s="2"/>
      <c r="K138" s="10"/>
      <c r="L138" s="28"/>
      <c r="M138" s="6"/>
      <c r="N138" s="2"/>
    </row>
    <row r="139" spans="1:14" ht="51" x14ac:dyDescent="0.2">
      <c r="A139" s="29">
        <v>90350</v>
      </c>
      <c r="B139" s="27" t="s">
        <v>92</v>
      </c>
      <c r="C139" s="28"/>
      <c r="D139" s="27" t="s">
        <v>247</v>
      </c>
      <c r="E139" s="27" t="s">
        <v>304</v>
      </c>
      <c r="F139" s="27" t="s">
        <v>303</v>
      </c>
      <c r="G139" s="28" t="s">
        <v>306</v>
      </c>
      <c r="H139" s="6">
        <v>42710</v>
      </c>
      <c r="I139" s="10"/>
      <c r="J139" s="2"/>
      <c r="K139" s="10"/>
      <c r="L139" s="28"/>
      <c r="M139" s="6"/>
      <c r="N139" s="2"/>
    </row>
    <row r="140" spans="1:14" ht="25.5" x14ac:dyDescent="0.2">
      <c r="A140" s="29">
        <v>90360</v>
      </c>
      <c r="B140" s="27" t="s">
        <v>248</v>
      </c>
      <c r="C140" s="28"/>
      <c r="D140" s="27" t="s">
        <v>249</v>
      </c>
      <c r="E140" s="27" t="s">
        <v>304</v>
      </c>
      <c r="F140" s="27" t="s">
        <v>303</v>
      </c>
      <c r="G140" s="28" t="s">
        <v>306</v>
      </c>
      <c r="H140" s="6">
        <v>42710</v>
      </c>
      <c r="I140" s="10"/>
      <c r="J140" s="2"/>
      <c r="K140" s="10"/>
      <c r="L140" s="28"/>
      <c r="M140" s="6"/>
      <c r="N140" s="2"/>
    </row>
    <row r="141" spans="1:14" ht="25.5" x14ac:dyDescent="0.2">
      <c r="A141" s="29">
        <v>90370</v>
      </c>
      <c r="B141" s="27" t="s">
        <v>250</v>
      </c>
      <c r="C141" s="28"/>
      <c r="D141" s="27" t="s">
        <v>251</v>
      </c>
      <c r="E141" s="27" t="s">
        <v>304</v>
      </c>
      <c r="F141" s="27" t="s">
        <v>303</v>
      </c>
      <c r="G141" s="28" t="s">
        <v>306</v>
      </c>
      <c r="H141" s="6">
        <v>42710</v>
      </c>
      <c r="I141" s="10"/>
      <c r="J141" s="2"/>
      <c r="K141" s="10"/>
      <c r="L141" s="28"/>
      <c r="M141" s="6"/>
      <c r="N141" s="2"/>
    </row>
    <row r="142" spans="1:14" ht="25.5" x14ac:dyDescent="0.2">
      <c r="A142" s="29">
        <v>90380</v>
      </c>
      <c r="B142" s="27" t="s">
        <v>252</v>
      </c>
      <c r="C142" s="28"/>
      <c r="D142" s="27" t="s">
        <v>253</v>
      </c>
      <c r="E142" s="27" t="s">
        <v>304</v>
      </c>
      <c r="F142" s="27" t="s">
        <v>303</v>
      </c>
      <c r="G142" s="28" t="s">
        <v>306</v>
      </c>
      <c r="H142" s="6">
        <v>42710</v>
      </c>
      <c r="I142" s="10"/>
      <c r="J142" s="2"/>
      <c r="K142" s="10"/>
      <c r="L142" s="28"/>
      <c r="M142" s="6"/>
      <c r="N142" s="2"/>
    </row>
    <row r="143" spans="1:14" ht="38.25" x14ac:dyDescent="0.2">
      <c r="A143" s="29">
        <v>90390</v>
      </c>
      <c r="B143" s="27" t="s">
        <v>254</v>
      </c>
      <c r="C143" s="28"/>
      <c r="D143" s="27" t="s">
        <v>255</v>
      </c>
      <c r="E143" s="27" t="s">
        <v>304</v>
      </c>
      <c r="F143" s="27" t="s">
        <v>303</v>
      </c>
      <c r="G143" s="28" t="s">
        <v>306</v>
      </c>
      <c r="H143" s="6">
        <v>42710</v>
      </c>
      <c r="I143" s="10"/>
      <c r="J143" s="2"/>
      <c r="K143" s="10"/>
      <c r="L143" s="28"/>
      <c r="M143" s="6"/>
      <c r="N143" s="2"/>
    </row>
    <row r="144" spans="1:14" ht="51" x14ac:dyDescent="0.2">
      <c r="A144" s="29">
        <v>90400</v>
      </c>
      <c r="B144" s="27" t="s">
        <v>197</v>
      </c>
      <c r="C144" s="28"/>
      <c r="D144" s="27" t="s">
        <v>256</v>
      </c>
      <c r="E144" s="27" t="s">
        <v>304</v>
      </c>
      <c r="F144" s="27" t="s">
        <v>303</v>
      </c>
      <c r="G144" s="28" t="s">
        <v>306</v>
      </c>
      <c r="H144" s="6">
        <v>42710</v>
      </c>
      <c r="I144" s="10"/>
      <c r="J144" s="2"/>
      <c r="K144" s="10"/>
      <c r="L144" s="28"/>
      <c r="M144" s="6"/>
      <c r="N144" s="2"/>
    </row>
    <row r="145" spans="1:14" ht="38.25" x14ac:dyDescent="0.2">
      <c r="A145" s="29">
        <v>90410</v>
      </c>
      <c r="B145" s="27" t="s">
        <v>257</v>
      </c>
      <c r="C145" s="28"/>
      <c r="D145" s="27" t="s">
        <v>258</v>
      </c>
      <c r="E145" s="27" t="s">
        <v>304</v>
      </c>
      <c r="F145" s="27" t="s">
        <v>303</v>
      </c>
      <c r="G145" s="28" t="s">
        <v>306</v>
      </c>
      <c r="H145" s="6">
        <v>42710</v>
      </c>
      <c r="I145" s="10"/>
      <c r="J145" s="2"/>
      <c r="K145" s="10"/>
      <c r="L145" s="28"/>
      <c r="M145" s="6"/>
      <c r="N145" s="2"/>
    </row>
    <row r="146" spans="1:14" ht="25.5" x14ac:dyDescent="0.2">
      <c r="A146" s="29">
        <v>90420</v>
      </c>
      <c r="B146" s="27" t="s">
        <v>250</v>
      </c>
      <c r="C146" s="28"/>
      <c r="D146" s="27" t="s">
        <v>259</v>
      </c>
      <c r="E146" s="27" t="s">
        <v>304</v>
      </c>
      <c r="F146" s="27" t="s">
        <v>303</v>
      </c>
      <c r="G146" s="28" t="s">
        <v>306</v>
      </c>
      <c r="H146" s="6">
        <v>42710</v>
      </c>
      <c r="I146" s="10"/>
      <c r="J146" s="2"/>
      <c r="K146" s="10"/>
      <c r="L146" s="28"/>
      <c r="M146" s="6"/>
      <c r="N146" s="2"/>
    </row>
    <row r="147" spans="1:14" ht="38.25" x14ac:dyDescent="0.2">
      <c r="A147" s="29">
        <v>90430</v>
      </c>
      <c r="B147" s="27" t="s">
        <v>260</v>
      </c>
      <c r="C147" s="28"/>
      <c r="D147" s="27" t="s">
        <v>261</v>
      </c>
      <c r="E147" s="27" t="s">
        <v>304</v>
      </c>
      <c r="F147" s="27" t="s">
        <v>303</v>
      </c>
      <c r="G147" s="28" t="s">
        <v>306</v>
      </c>
      <c r="H147" s="6">
        <v>42710</v>
      </c>
      <c r="I147" s="10"/>
      <c r="J147" s="2"/>
      <c r="K147" s="10"/>
      <c r="L147" s="28"/>
      <c r="M147" s="6"/>
      <c r="N147" s="2"/>
    </row>
    <row r="148" spans="1:14" x14ac:dyDescent="0.2">
      <c r="A148" s="29">
        <v>90440</v>
      </c>
      <c r="B148" s="27" t="s">
        <v>262</v>
      </c>
      <c r="C148" s="28"/>
      <c r="D148" s="27" t="s">
        <v>263</v>
      </c>
      <c r="E148" s="27" t="s">
        <v>304</v>
      </c>
      <c r="F148" s="27" t="s">
        <v>303</v>
      </c>
      <c r="G148" s="28" t="s">
        <v>306</v>
      </c>
      <c r="H148" s="6">
        <v>42703</v>
      </c>
      <c r="I148" s="10"/>
      <c r="J148" s="2"/>
      <c r="K148" s="10"/>
      <c r="L148" s="28"/>
      <c r="M148" s="6"/>
      <c r="N148" s="2"/>
    </row>
    <row r="149" spans="1:14" ht="38.25" x14ac:dyDescent="0.2">
      <c r="A149" s="29">
        <v>90450</v>
      </c>
      <c r="B149" s="27" t="s">
        <v>92</v>
      </c>
      <c r="C149" s="28"/>
      <c r="D149" s="27" t="s">
        <v>264</v>
      </c>
      <c r="E149" s="27" t="s">
        <v>304</v>
      </c>
      <c r="F149" s="27" t="s">
        <v>303</v>
      </c>
      <c r="G149" s="28" t="s">
        <v>306</v>
      </c>
      <c r="H149" s="6">
        <v>42703</v>
      </c>
      <c r="I149" s="10"/>
      <c r="J149" s="2"/>
      <c r="K149" s="10"/>
      <c r="L149" s="28"/>
      <c r="M149" s="6"/>
      <c r="N149" s="2"/>
    </row>
    <row r="150" spans="1:14" ht="25.5" x14ac:dyDescent="0.2">
      <c r="A150" s="29">
        <v>90460</v>
      </c>
      <c r="B150" s="27" t="s">
        <v>97</v>
      </c>
      <c r="C150" s="28"/>
      <c r="D150" s="27" t="s">
        <v>265</v>
      </c>
      <c r="E150" s="27" t="s">
        <v>304</v>
      </c>
      <c r="F150" s="27" t="s">
        <v>324</v>
      </c>
      <c r="G150" s="28" t="s">
        <v>306</v>
      </c>
      <c r="H150" s="46" t="s">
        <v>396</v>
      </c>
      <c r="I150" s="10"/>
      <c r="J150" s="2"/>
      <c r="K150" s="10"/>
      <c r="L150" s="28" t="s">
        <v>395</v>
      </c>
      <c r="M150" s="6">
        <v>42710</v>
      </c>
      <c r="N150" s="2"/>
    </row>
    <row r="151" spans="1:14" ht="38.25" x14ac:dyDescent="0.2">
      <c r="A151" s="29">
        <v>90470</v>
      </c>
      <c r="B151" s="27" t="s">
        <v>318</v>
      </c>
      <c r="C151" s="28"/>
      <c r="D151" s="27" t="s">
        <v>319</v>
      </c>
      <c r="E151" s="27" t="s">
        <v>304</v>
      </c>
      <c r="F151" s="27" t="s">
        <v>320</v>
      </c>
      <c r="G151" s="28" t="s">
        <v>306</v>
      </c>
      <c r="H151" s="6">
        <v>42703</v>
      </c>
      <c r="I151" s="10"/>
      <c r="J151" s="2"/>
      <c r="K151" s="10"/>
      <c r="L151" s="28" t="s">
        <v>395</v>
      </c>
      <c r="M151" s="6">
        <v>42710</v>
      </c>
      <c r="N151" s="2"/>
    </row>
    <row r="152" spans="1:14" ht="38.25" x14ac:dyDescent="0.2">
      <c r="A152" s="29">
        <v>90480</v>
      </c>
      <c r="B152" s="27" t="s">
        <v>321</v>
      </c>
      <c r="C152" s="28"/>
      <c r="D152" s="27" t="s">
        <v>322</v>
      </c>
      <c r="E152" s="27" t="s">
        <v>304</v>
      </c>
      <c r="F152" s="27" t="s">
        <v>323</v>
      </c>
      <c r="G152" s="28" t="s">
        <v>306</v>
      </c>
      <c r="H152" s="6">
        <v>42703</v>
      </c>
      <c r="I152" s="10"/>
      <c r="J152" s="2"/>
      <c r="K152" s="10"/>
      <c r="L152" s="28" t="s">
        <v>395</v>
      </c>
      <c r="M152" s="6">
        <v>42710</v>
      </c>
      <c r="N152" s="2"/>
    </row>
    <row r="153" spans="1:14" x14ac:dyDescent="0.2">
      <c r="A153" s="29">
        <v>100000</v>
      </c>
      <c r="B153" s="27" t="s">
        <v>142</v>
      </c>
      <c r="C153" s="28"/>
      <c r="D153" s="2"/>
      <c r="E153" s="2"/>
      <c r="F153" s="27"/>
      <c r="G153" s="28"/>
      <c r="H153" s="6"/>
      <c r="I153" s="10"/>
      <c r="J153" s="2"/>
      <c r="K153" s="10"/>
      <c r="L153" s="28"/>
      <c r="M153" s="6"/>
      <c r="N153" s="2"/>
    </row>
    <row r="154" spans="1:14" ht="38.25" x14ac:dyDescent="0.2">
      <c r="A154" s="29">
        <v>100010</v>
      </c>
      <c r="B154" s="27" t="s">
        <v>291</v>
      </c>
      <c r="C154" s="28"/>
      <c r="D154" s="27" t="s">
        <v>292</v>
      </c>
      <c r="E154" s="27" t="s">
        <v>304</v>
      </c>
      <c r="F154" s="27" t="s">
        <v>303</v>
      </c>
      <c r="G154" s="28" t="s">
        <v>306</v>
      </c>
      <c r="H154" s="6">
        <v>42703</v>
      </c>
      <c r="I154" s="10"/>
      <c r="J154" s="2"/>
      <c r="K154" s="10"/>
      <c r="L154" s="28"/>
      <c r="M154" s="6"/>
      <c r="N154" s="2"/>
    </row>
    <row r="155" spans="1:14" ht="38.25" x14ac:dyDescent="0.2">
      <c r="A155" s="29">
        <v>100020</v>
      </c>
      <c r="B155" s="27" t="s">
        <v>293</v>
      </c>
      <c r="C155" s="28"/>
      <c r="D155" s="27" t="s">
        <v>294</v>
      </c>
      <c r="E155" s="27" t="s">
        <v>304</v>
      </c>
      <c r="F155" s="27" t="s">
        <v>303</v>
      </c>
      <c r="G155" s="28" t="s">
        <v>306</v>
      </c>
      <c r="H155" s="6">
        <v>42703</v>
      </c>
      <c r="I155" s="10"/>
      <c r="J155" s="2"/>
      <c r="K155" s="10"/>
      <c r="L155" s="28"/>
      <c r="M155" s="6"/>
      <c r="N155" s="2"/>
    </row>
    <row r="156" spans="1:14" ht="38.25" x14ac:dyDescent="0.2">
      <c r="A156" s="29">
        <v>100030</v>
      </c>
      <c r="B156" s="27" t="s">
        <v>295</v>
      </c>
      <c r="C156" s="28"/>
      <c r="D156" s="27" t="s">
        <v>296</v>
      </c>
      <c r="E156" s="27" t="s">
        <v>304</v>
      </c>
      <c r="F156" s="27" t="s">
        <v>316</v>
      </c>
      <c r="G156" s="28" t="s">
        <v>306</v>
      </c>
      <c r="H156" s="6">
        <v>42703</v>
      </c>
      <c r="I156" s="10"/>
      <c r="J156" s="2"/>
      <c r="K156" s="10"/>
      <c r="L156" s="28" t="s">
        <v>306</v>
      </c>
      <c r="M156" s="6">
        <v>42703</v>
      </c>
      <c r="N156" s="27" t="s">
        <v>317</v>
      </c>
    </row>
    <row r="157" spans="1:14" x14ac:dyDescent="0.2">
      <c r="A157" s="29">
        <v>100040</v>
      </c>
      <c r="B157" s="27"/>
      <c r="C157" s="28"/>
      <c r="D157" s="27"/>
      <c r="E157" s="2"/>
      <c r="F157" s="27"/>
      <c r="G157" s="28"/>
      <c r="H157" s="6"/>
      <c r="I157" s="10"/>
      <c r="J157" s="2"/>
      <c r="K157" s="10"/>
      <c r="L157" s="28"/>
      <c r="M157" s="6"/>
      <c r="N157" s="2"/>
    </row>
    <row r="158" spans="1:14" x14ac:dyDescent="0.2">
      <c r="A158" s="29">
        <v>100050</v>
      </c>
      <c r="B158" s="27"/>
      <c r="C158" s="28"/>
      <c r="D158" s="27"/>
      <c r="E158" s="2"/>
      <c r="F158" s="27"/>
      <c r="G158" s="28"/>
      <c r="H158" s="6"/>
      <c r="I158" s="10"/>
      <c r="J158" s="2"/>
      <c r="K158" s="10"/>
      <c r="L158" s="28"/>
      <c r="M158" s="6"/>
      <c r="N158" s="2"/>
    </row>
    <row r="159" spans="1:14" x14ac:dyDescent="0.2">
      <c r="A159" s="29">
        <v>110000</v>
      </c>
      <c r="B159" s="27" t="s">
        <v>143</v>
      </c>
      <c r="C159" s="28"/>
      <c r="D159" s="2"/>
      <c r="E159" s="2"/>
      <c r="F159" s="27"/>
      <c r="G159" s="28"/>
      <c r="H159" s="6"/>
      <c r="I159" s="10"/>
      <c r="J159" s="2"/>
      <c r="K159" s="10"/>
      <c r="L159" s="28"/>
      <c r="M159" s="6"/>
      <c r="N159" s="2"/>
    </row>
    <row r="160" spans="1:14" ht="25.5" x14ac:dyDescent="0.2">
      <c r="A160" s="29">
        <v>110010</v>
      </c>
      <c r="B160" s="27" t="s">
        <v>266</v>
      </c>
      <c r="C160" s="10"/>
      <c r="D160" s="27" t="s">
        <v>267</v>
      </c>
      <c r="E160" s="27" t="s">
        <v>304</v>
      </c>
      <c r="F160" s="27" t="s">
        <v>303</v>
      </c>
      <c r="G160" s="28" t="s">
        <v>306</v>
      </c>
      <c r="H160" s="6">
        <v>42710</v>
      </c>
      <c r="I160" s="10"/>
      <c r="J160" s="2"/>
      <c r="K160" s="10"/>
      <c r="L160" s="28"/>
      <c r="M160" s="6"/>
      <c r="N160" s="2"/>
    </row>
    <row r="161" spans="1:14" ht="25.5" x14ac:dyDescent="0.2">
      <c r="A161" s="29">
        <v>110020</v>
      </c>
      <c r="B161" s="27" t="s">
        <v>268</v>
      </c>
      <c r="C161" s="10"/>
      <c r="D161" s="27" t="s">
        <v>269</v>
      </c>
      <c r="E161" s="27" t="s">
        <v>304</v>
      </c>
      <c r="F161" s="27" t="s">
        <v>303</v>
      </c>
      <c r="G161" s="28" t="s">
        <v>306</v>
      </c>
      <c r="H161" s="6">
        <v>42710</v>
      </c>
      <c r="I161" s="10"/>
      <c r="J161" s="2"/>
      <c r="K161" s="10"/>
      <c r="L161" s="28"/>
      <c r="M161" s="6"/>
      <c r="N161" s="2"/>
    </row>
    <row r="162" spans="1:14" ht="38.25" x14ac:dyDescent="0.2">
      <c r="A162" s="29">
        <v>110030</v>
      </c>
      <c r="B162" s="27" t="s">
        <v>270</v>
      </c>
      <c r="C162" s="10"/>
      <c r="D162" s="27" t="s">
        <v>271</v>
      </c>
      <c r="E162" s="27" t="s">
        <v>304</v>
      </c>
      <c r="F162" s="27" t="s">
        <v>303</v>
      </c>
      <c r="G162" s="28" t="s">
        <v>306</v>
      </c>
      <c r="H162" s="6">
        <v>42710</v>
      </c>
      <c r="I162" s="10"/>
      <c r="J162" s="2"/>
      <c r="K162" s="10"/>
      <c r="L162" s="28"/>
      <c r="M162" s="6"/>
      <c r="N162" s="2"/>
    </row>
    <row r="163" spans="1:14" ht="38.25" x14ac:dyDescent="0.2">
      <c r="A163" s="29">
        <v>110040</v>
      </c>
      <c r="B163" s="27" t="s">
        <v>272</v>
      </c>
      <c r="C163" s="10"/>
      <c r="D163" s="27" t="s">
        <v>273</v>
      </c>
      <c r="E163" s="27" t="s">
        <v>304</v>
      </c>
      <c r="F163" s="27" t="s">
        <v>303</v>
      </c>
      <c r="G163" s="28" t="s">
        <v>306</v>
      </c>
      <c r="H163" s="6">
        <v>42710</v>
      </c>
      <c r="I163" s="10"/>
      <c r="J163" s="2"/>
      <c r="K163" s="10"/>
      <c r="L163" s="28"/>
      <c r="M163" s="6"/>
      <c r="N163" s="2"/>
    </row>
    <row r="164" spans="1:14" ht="25.5" x14ac:dyDescent="0.2">
      <c r="A164" s="29">
        <v>110050</v>
      </c>
      <c r="B164" s="27" t="s">
        <v>197</v>
      </c>
      <c r="C164" s="10"/>
      <c r="D164" s="27" t="s">
        <v>274</v>
      </c>
      <c r="E164" s="27" t="s">
        <v>304</v>
      </c>
      <c r="F164" s="27" t="s">
        <v>303</v>
      </c>
      <c r="G164" s="28" t="s">
        <v>306</v>
      </c>
      <c r="H164" s="6">
        <v>42710</v>
      </c>
      <c r="I164" s="10"/>
      <c r="J164" s="2"/>
      <c r="K164" s="10"/>
      <c r="L164" s="28"/>
      <c r="M164" s="6"/>
      <c r="N164" s="2"/>
    </row>
    <row r="165" spans="1:14" ht="38.25" x14ac:dyDescent="0.2">
      <c r="A165" s="29">
        <v>110060</v>
      </c>
      <c r="B165" s="27" t="s">
        <v>275</v>
      </c>
      <c r="C165" s="10"/>
      <c r="D165" s="27" t="s">
        <v>276</v>
      </c>
      <c r="E165" s="27" t="s">
        <v>304</v>
      </c>
      <c r="F165" s="27" t="s">
        <v>303</v>
      </c>
      <c r="G165" s="28" t="s">
        <v>306</v>
      </c>
      <c r="H165" s="6">
        <v>42710</v>
      </c>
      <c r="I165" s="10"/>
      <c r="J165" s="2"/>
      <c r="K165" s="10"/>
      <c r="L165" s="28"/>
      <c r="M165" s="6"/>
      <c r="N165" s="2"/>
    </row>
    <row r="166" spans="1:14" ht="51" x14ac:dyDescent="0.2">
      <c r="A166" s="29">
        <v>110070</v>
      </c>
      <c r="B166" s="27" t="s">
        <v>277</v>
      </c>
      <c r="C166" s="10"/>
      <c r="D166" s="27" t="s">
        <v>278</v>
      </c>
      <c r="E166" s="27" t="s">
        <v>304</v>
      </c>
      <c r="F166" s="27" t="s">
        <v>303</v>
      </c>
      <c r="G166" s="28" t="s">
        <v>306</v>
      </c>
      <c r="H166" s="6">
        <v>42710</v>
      </c>
      <c r="I166" s="10"/>
      <c r="J166" s="2"/>
      <c r="K166" s="10"/>
      <c r="L166" s="28"/>
      <c r="M166" s="6"/>
      <c r="N166" s="2"/>
    </row>
    <row r="167" spans="1:14" ht="25.5" x14ac:dyDescent="0.2">
      <c r="A167" s="29">
        <v>110080</v>
      </c>
      <c r="B167" s="2" t="s">
        <v>277</v>
      </c>
      <c r="C167" s="10"/>
      <c r="D167" s="27" t="s">
        <v>279</v>
      </c>
      <c r="E167" s="27" t="s">
        <v>304</v>
      </c>
      <c r="F167" s="27" t="s">
        <v>303</v>
      </c>
      <c r="G167" s="28" t="s">
        <v>306</v>
      </c>
      <c r="H167" s="6">
        <v>42710</v>
      </c>
      <c r="I167" s="10"/>
      <c r="J167" s="2"/>
      <c r="K167" s="10"/>
      <c r="L167" s="28"/>
      <c r="M167" s="6"/>
      <c r="N167" s="2"/>
    </row>
    <row r="168" spans="1:14" ht="25.5" x14ac:dyDescent="0.2">
      <c r="A168" s="29">
        <v>110090</v>
      </c>
      <c r="B168" s="2" t="s">
        <v>277</v>
      </c>
      <c r="C168" s="10"/>
      <c r="D168" s="27" t="s">
        <v>280</v>
      </c>
      <c r="E168" s="27" t="s">
        <v>304</v>
      </c>
      <c r="F168" s="27" t="s">
        <v>303</v>
      </c>
      <c r="G168" s="28" t="s">
        <v>306</v>
      </c>
      <c r="H168" s="6">
        <v>42710</v>
      </c>
      <c r="I168" s="10"/>
      <c r="J168" s="2"/>
      <c r="K168" s="10"/>
      <c r="L168" s="28"/>
      <c r="M168" s="6"/>
      <c r="N168" s="2"/>
    </row>
    <row r="169" spans="1:14" ht="51" x14ac:dyDescent="0.2">
      <c r="A169" s="29">
        <v>110100</v>
      </c>
      <c r="B169" s="27" t="s">
        <v>281</v>
      </c>
      <c r="C169" s="10"/>
      <c r="D169" s="27" t="s">
        <v>282</v>
      </c>
      <c r="E169" s="27" t="s">
        <v>304</v>
      </c>
      <c r="F169" s="27" t="s">
        <v>303</v>
      </c>
      <c r="G169" s="28" t="s">
        <v>306</v>
      </c>
      <c r="H169" s="6">
        <v>42710</v>
      </c>
      <c r="I169" s="10"/>
      <c r="J169" s="2"/>
      <c r="K169" s="10"/>
      <c r="L169" s="28"/>
      <c r="M169" s="6"/>
      <c r="N169" s="2"/>
    </row>
    <row r="170" spans="1:14" ht="25.5" x14ac:dyDescent="0.2">
      <c r="A170" s="29">
        <v>110110</v>
      </c>
      <c r="B170" s="27" t="s">
        <v>197</v>
      </c>
      <c r="C170" s="10"/>
      <c r="D170" s="27" t="s">
        <v>274</v>
      </c>
      <c r="E170" s="27" t="s">
        <v>304</v>
      </c>
      <c r="F170" s="27" t="s">
        <v>303</v>
      </c>
      <c r="G170" s="28" t="s">
        <v>306</v>
      </c>
      <c r="H170" s="6">
        <v>42710</v>
      </c>
      <c r="I170" s="10"/>
      <c r="J170" s="2"/>
      <c r="K170" s="10"/>
      <c r="L170" s="28"/>
      <c r="M170" s="6"/>
      <c r="N170" s="2"/>
    </row>
    <row r="171" spans="1:14" ht="38.25" x14ac:dyDescent="0.2">
      <c r="A171" s="29">
        <v>110120</v>
      </c>
      <c r="B171" s="27" t="s">
        <v>283</v>
      </c>
      <c r="C171" s="10"/>
      <c r="D171" s="27" t="s">
        <v>284</v>
      </c>
      <c r="E171" s="27" t="s">
        <v>304</v>
      </c>
      <c r="F171" s="27" t="s">
        <v>303</v>
      </c>
      <c r="G171" s="28" t="s">
        <v>306</v>
      </c>
      <c r="H171" s="6">
        <v>42710</v>
      </c>
      <c r="I171" s="10"/>
      <c r="J171" s="2"/>
      <c r="K171" s="10"/>
      <c r="L171" s="28"/>
      <c r="M171" s="6"/>
      <c r="N171" s="2"/>
    </row>
    <row r="172" spans="1:14" ht="38.25" x14ac:dyDescent="0.2">
      <c r="A172" s="29">
        <v>110130</v>
      </c>
      <c r="B172" s="27" t="s">
        <v>285</v>
      </c>
      <c r="C172" s="10"/>
      <c r="D172" s="27" t="s">
        <v>286</v>
      </c>
      <c r="E172" s="27" t="s">
        <v>304</v>
      </c>
      <c r="F172" s="27" t="s">
        <v>303</v>
      </c>
      <c r="G172" s="28" t="s">
        <v>306</v>
      </c>
      <c r="H172" s="6">
        <v>42710</v>
      </c>
      <c r="I172" s="10"/>
      <c r="J172" s="2"/>
      <c r="K172" s="10"/>
      <c r="L172" s="28"/>
      <c r="M172" s="6"/>
      <c r="N172" s="2"/>
    </row>
    <row r="173" spans="1:14" ht="38.25" x14ac:dyDescent="0.2">
      <c r="A173" s="29">
        <v>110140</v>
      </c>
      <c r="B173" s="27" t="s">
        <v>287</v>
      </c>
      <c r="C173" s="10"/>
      <c r="D173" s="27" t="s">
        <v>288</v>
      </c>
      <c r="E173" s="27" t="s">
        <v>304</v>
      </c>
      <c r="F173" s="27" t="s">
        <v>303</v>
      </c>
      <c r="G173" s="28" t="s">
        <v>306</v>
      </c>
      <c r="H173" s="6">
        <v>42710</v>
      </c>
      <c r="I173" s="10"/>
      <c r="J173" s="2"/>
      <c r="K173" s="10"/>
      <c r="L173" s="28"/>
      <c r="M173" s="6"/>
      <c r="N173" s="2"/>
    </row>
    <row r="174" spans="1:14" ht="25.5" x14ac:dyDescent="0.2">
      <c r="A174" s="29">
        <v>110150</v>
      </c>
      <c r="B174" s="27" t="s">
        <v>289</v>
      </c>
      <c r="C174" s="10"/>
      <c r="D174" s="27" t="s">
        <v>290</v>
      </c>
      <c r="E174" s="27" t="s">
        <v>304</v>
      </c>
      <c r="F174" s="27" t="s">
        <v>303</v>
      </c>
      <c r="G174" s="28" t="s">
        <v>306</v>
      </c>
      <c r="H174" s="6">
        <v>42710</v>
      </c>
      <c r="I174" s="10"/>
      <c r="J174" s="2"/>
      <c r="K174" s="10"/>
      <c r="L174" s="28"/>
      <c r="M174" s="6"/>
      <c r="N174" s="2"/>
    </row>
    <row r="175" spans="1:14" x14ac:dyDescent="0.2">
      <c r="A175" s="29"/>
      <c r="B175" s="27"/>
      <c r="C175" s="10"/>
      <c r="D175" s="27"/>
      <c r="E175" s="27"/>
      <c r="F175" s="27"/>
      <c r="G175" s="28"/>
      <c r="H175" s="6"/>
      <c r="I175" s="10"/>
      <c r="J175" s="2"/>
      <c r="K175" s="10"/>
      <c r="L175" s="28"/>
      <c r="M175" s="6"/>
      <c r="N175" s="2"/>
    </row>
    <row r="176" spans="1:14" x14ac:dyDescent="0.2">
      <c r="A176" s="29">
        <v>120000</v>
      </c>
      <c r="B176" s="27" t="s">
        <v>144</v>
      </c>
      <c r="C176" s="10"/>
      <c r="D176" s="2"/>
      <c r="E176" s="2"/>
      <c r="F176" s="27"/>
      <c r="G176" s="28"/>
      <c r="H176" s="6"/>
      <c r="I176" s="10"/>
      <c r="J176" s="2"/>
      <c r="K176" s="10"/>
      <c r="L176" s="28"/>
      <c r="M176" s="6"/>
      <c r="N176" s="2"/>
    </row>
    <row r="177" spans="1:14" ht="63.75" x14ac:dyDescent="0.2">
      <c r="A177" s="29">
        <v>120010</v>
      </c>
      <c r="B177" s="27" t="s">
        <v>155</v>
      </c>
      <c r="C177" s="10"/>
      <c r="D177" s="27" t="s">
        <v>156</v>
      </c>
      <c r="E177" s="27" t="s">
        <v>304</v>
      </c>
      <c r="F177" s="27" t="s">
        <v>303</v>
      </c>
      <c r="G177" s="28" t="s">
        <v>306</v>
      </c>
      <c r="H177" s="6">
        <v>42710</v>
      </c>
      <c r="I177" s="10"/>
      <c r="J177" s="2"/>
      <c r="K177" s="10"/>
      <c r="L177" s="28"/>
      <c r="M177" s="6"/>
      <c r="N177" s="2"/>
    </row>
    <row r="178" spans="1:14" ht="25.5" x14ac:dyDescent="0.2">
      <c r="A178" s="29">
        <v>120020</v>
      </c>
      <c r="B178" s="27" t="s">
        <v>157</v>
      </c>
      <c r="C178" s="10"/>
      <c r="D178" s="27" t="s">
        <v>161</v>
      </c>
      <c r="E178" s="27" t="s">
        <v>304</v>
      </c>
      <c r="F178" s="27" t="s">
        <v>303</v>
      </c>
      <c r="G178" s="28" t="s">
        <v>306</v>
      </c>
      <c r="H178" s="6">
        <v>42703</v>
      </c>
      <c r="I178" s="10"/>
      <c r="J178" s="2"/>
      <c r="K178" s="10"/>
      <c r="L178" s="28"/>
      <c r="M178" s="6"/>
      <c r="N178" s="2"/>
    </row>
    <row r="179" spans="1:14" ht="38.25" x14ac:dyDescent="0.2">
      <c r="A179" s="47">
        <v>120030</v>
      </c>
      <c r="B179" s="48" t="s">
        <v>330</v>
      </c>
      <c r="C179" s="49"/>
      <c r="D179" s="48" t="s">
        <v>331</v>
      </c>
      <c r="E179" s="48" t="s">
        <v>304</v>
      </c>
      <c r="F179" s="48" t="s">
        <v>303</v>
      </c>
      <c r="G179" s="50" t="s">
        <v>306</v>
      </c>
      <c r="H179" s="51">
        <v>42703</v>
      </c>
      <c r="I179" s="49"/>
      <c r="J179" s="52"/>
      <c r="K179" s="49"/>
      <c r="L179" s="50" t="s">
        <v>395</v>
      </c>
      <c r="M179" s="51">
        <v>42762</v>
      </c>
      <c r="N179" s="48" t="s">
        <v>468</v>
      </c>
    </row>
    <row r="180" spans="1:14" ht="25.5" x14ac:dyDescent="0.2">
      <c r="A180" s="29">
        <v>120040</v>
      </c>
      <c r="B180" s="27" t="s">
        <v>332</v>
      </c>
      <c r="C180" s="10"/>
      <c r="D180" s="27" t="s">
        <v>335</v>
      </c>
      <c r="E180" s="27" t="s">
        <v>304</v>
      </c>
      <c r="F180" s="27" t="s">
        <v>303</v>
      </c>
      <c r="G180" s="28" t="s">
        <v>306</v>
      </c>
      <c r="H180" s="6">
        <v>42703</v>
      </c>
      <c r="I180" s="10"/>
      <c r="J180" s="2"/>
      <c r="K180" s="10"/>
      <c r="L180" s="28"/>
      <c r="M180" s="6"/>
      <c r="N180" s="2"/>
    </row>
    <row r="181" spans="1:14" ht="76.5" x14ac:dyDescent="0.2">
      <c r="A181" s="29">
        <v>120050</v>
      </c>
      <c r="B181" s="27" t="s">
        <v>341</v>
      </c>
      <c r="C181" s="28" t="s">
        <v>340</v>
      </c>
      <c r="D181" s="27" t="s">
        <v>342</v>
      </c>
      <c r="E181" s="27" t="s">
        <v>304</v>
      </c>
      <c r="F181" s="27" t="s">
        <v>343</v>
      </c>
      <c r="G181" s="28" t="s">
        <v>306</v>
      </c>
      <c r="H181" s="6">
        <v>42703</v>
      </c>
      <c r="I181" s="10"/>
      <c r="J181" s="2"/>
      <c r="K181" s="10"/>
      <c r="L181" s="28" t="s">
        <v>306</v>
      </c>
      <c r="M181" s="6">
        <v>42703</v>
      </c>
      <c r="N181" s="27" t="s">
        <v>351</v>
      </c>
    </row>
    <row r="182" spans="1:14" ht="25.5" x14ac:dyDescent="0.2">
      <c r="A182" s="29">
        <v>120060</v>
      </c>
      <c r="B182" s="27" t="s">
        <v>333</v>
      </c>
      <c r="C182" s="10"/>
      <c r="D182" s="27" t="s">
        <v>336</v>
      </c>
      <c r="E182" s="27" t="s">
        <v>304</v>
      </c>
      <c r="F182" s="27" t="s">
        <v>303</v>
      </c>
      <c r="G182" s="28" t="s">
        <v>306</v>
      </c>
      <c r="H182" s="6">
        <v>42703</v>
      </c>
      <c r="I182" s="10"/>
      <c r="J182" s="2"/>
      <c r="K182" s="10"/>
      <c r="L182" s="28"/>
      <c r="M182" s="6"/>
      <c r="N182" s="2"/>
    </row>
    <row r="183" spans="1:14" ht="51" x14ac:dyDescent="0.2">
      <c r="A183" s="29">
        <v>120070</v>
      </c>
      <c r="B183" s="27" t="s">
        <v>334</v>
      </c>
      <c r="C183" s="10"/>
      <c r="D183" s="27" t="s">
        <v>337</v>
      </c>
      <c r="E183" s="27" t="s">
        <v>304</v>
      </c>
      <c r="F183" s="27" t="s">
        <v>338</v>
      </c>
      <c r="G183" s="28" t="s">
        <v>306</v>
      </c>
      <c r="H183" s="6">
        <v>42703</v>
      </c>
      <c r="I183" s="10"/>
      <c r="J183" s="2"/>
      <c r="K183" s="10"/>
      <c r="L183" s="28" t="s">
        <v>306</v>
      </c>
      <c r="M183" s="6">
        <v>42703</v>
      </c>
      <c r="N183" s="27" t="s">
        <v>339</v>
      </c>
    </row>
    <row r="184" spans="1:14" ht="25.5" x14ac:dyDescent="0.2">
      <c r="A184" s="29"/>
      <c r="B184" s="27" t="s">
        <v>358</v>
      </c>
      <c r="C184" s="10"/>
      <c r="D184" s="27" t="s">
        <v>359</v>
      </c>
      <c r="E184" s="27" t="s">
        <v>304</v>
      </c>
      <c r="F184" s="27" t="s">
        <v>303</v>
      </c>
      <c r="G184" s="28" t="s">
        <v>306</v>
      </c>
      <c r="H184" s="6">
        <v>42703</v>
      </c>
      <c r="I184" s="10"/>
      <c r="J184" s="2"/>
      <c r="K184" s="10"/>
      <c r="L184" s="28"/>
      <c r="M184" s="6"/>
      <c r="N184" s="27"/>
    </row>
    <row r="185" spans="1:14" ht="25.5" x14ac:dyDescent="0.2">
      <c r="A185" s="29">
        <v>120080</v>
      </c>
      <c r="B185" s="27" t="s">
        <v>158</v>
      </c>
      <c r="C185" s="10"/>
      <c r="D185" s="27" t="s">
        <v>344</v>
      </c>
      <c r="E185" s="27" t="s">
        <v>304</v>
      </c>
      <c r="F185" s="27" t="s">
        <v>303</v>
      </c>
      <c r="G185" s="28" t="s">
        <v>306</v>
      </c>
      <c r="H185" s="6">
        <v>42710</v>
      </c>
      <c r="I185" s="10"/>
      <c r="J185" s="2"/>
      <c r="K185" s="10"/>
      <c r="L185" s="28"/>
      <c r="M185" s="6"/>
      <c r="N185" s="2"/>
    </row>
    <row r="186" spans="1:14" ht="25.5" x14ac:dyDescent="0.2">
      <c r="A186" s="29">
        <v>120090</v>
      </c>
      <c r="B186" s="27" t="s">
        <v>159</v>
      </c>
      <c r="C186" s="10"/>
      <c r="D186" s="27" t="s">
        <v>345</v>
      </c>
      <c r="E186" s="27" t="s">
        <v>304</v>
      </c>
      <c r="F186" s="27" t="s">
        <v>303</v>
      </c>
      <c r="G186" s="28" t="s">
        <v>306</v>
      </c>
      <c r="H186" s="6">
        <v>42710</v>
      </c>
      <c r="I186" s="10"/>
      <c r="J186" s="2"/>
      <c r="K186" s="10"/>
      <c r="L186" s="28"/>
      <c r="M186" s="6"/>
      <c r="N186" s="2"/>
    </row>
    <row r="187" spans="1:14" ht="25.5" x14ac:dyDescent="0.2">
      <c r="A187" s="29">
        <v>120100</v>
      </c>
      <c r="B187" s="27" t="s">
        <v>160</v>
      </c>
      <c r="C187" s="10"/>
      <c r="D187" s="27" t="s">
        <v>164</v>
      </c>
      <c r="E187" s="27" t="s">
        <v>304</v>
      </c>
      <c r="F187" s="27" t="s">
        <v>303</v>
      </c>
      <c r="G187" s="28" t="s">
        <v>397</v>
      </c>
      <c r="H187" s="6">
        <v>42710</v>
      </c>
      <c r="I187" s="10"/>
      <c r="J187" s="2"/>
      <c r="K187" s="10"/>
      <c r="L187" s="28"/>
      <c r="M187" s="6"/>
      <c r="N187" s="2"/>
    </row>
    <row r="188" spans="1:14" ht="25.5" x14ac:dyDescent="0.2">
      <c r="A188" s="29">
        <v>120110</v>
      </c>
      <c r="B188" s="27" t="s">
        <v>162</v>
      </c>
      <c r="C188" s="10"/>
      <c r="D188" s="27" t="s">
        <v>163</v>
      </c>
      <c r="E188" s="27" t="s">
        <v>304</v>
      </c>
      <c r="F188" s="27" t="s">
        <v>303</v>
      </c>
      <c r="G188" s="28" t="s">
        <v>306</v>
      </c>
      <c r="H188" s="6">
        <v>42710</v>
      </c>
      <c r="I188" s="10"/>
      <c r="J188" s="2"/>
      <c r="K188" s="10"/>
      <c r="L188" s="28"/>
      <c r="M188" s="6"/>
      <c r="N188" s="2"/>
    </row>
    <row r="189" spans="1:14" ht="25.5" x14ac:dyDescent="0.2">
      <c r="A189" s="29">
        <v>120120</v>
      </c>
      <c r="B189" s="27" t="s">
        <v>165</v>
      </c>
      <c r="C189" s="10"/>
      <c r="D189" s="27" t="s">
        <v>166</v>
      </c>
      <c r="E189" s="27" t="s">
        <v>304</v>
      </c>
      <c r="F189" s="27" t="s">
        <v>303</v>
      </c>
      <c r="G189" s="28" t="s">
        <v>306</v>
      </c>
      <c r="H189" s="6">
        <v>42710</v>
      </c>
      <c r="I189" s="10"/>
      <c r="J189" s="2"/>
      <c r="K189" s="10"/>
      <c r="L189" s="28"/>
      <c r="M189" s="6"/>
      <c r="N189" s="2"/>
    </row>
    <row r="190" spans="1:14" ht="76.5" x14ac:dyDescent="0.2">
      <c r="A190" s="47">
        <v>120130</v>
      </c>
      <c r="B190" s="48" t="s">
        <v>167</v>
      </c>
      <c r="C190" s="49"/>
      <c r="D190" s="48" t="s">
        <v>168</v>
      </c>
      <c r="E190" s="48" t="s">
        <v>304</v>
      </c>
      <c r="F190" s="48" t="s">
        <v>303</v>
      </c>
      <c r="G190" s="50" t="s">
        <v>306</v>
      </c>
      <c r="H190" s="51">
        <v>42710</v>
      </c>
      <c r="I190" s="49"/>
      <c r="J190" s="52"/>
      <c r="K190" s="49"/>
      <c r="L190" s="50" t="s">
        <v>306</v>
      </c>
      <c r="M190" s="51">
        <v>42762</v>
      </c>
      <c r="N190" s="48" t="s">
        <v>469</v>
      </c>
    </row>
    <row r="191" spans="1:14" ht="51" x14ac:dyDescent="0.2">
      <c r="A191" s="29">
        <v>120140</v>
      </c>
      <c r="B191" s="27" t="s">
        <v>169</v>
      </c>
      <c r="C191" s="10"/>
      <c r="D191" s="27" t="s">
        <v>170</v>
      </c>
      <c r="E191" s="27" t="s">
        <v>304</v>
      </c>
      <c r="F191" s="27" t="s">
        <v>303</v>
      </c>
      <c r="G191" s="28" t="s">
        <v>306</v>
      </c>
      <c r="H191" s="6">
        <v>42710</v>
      </c>
      <c r="I191" s="10"/>
      <c r="J191" s="2"/>
      <c r="K191" s="10"/>
      <c r="L191" s="28"/>
      <c r="M191" s="6"/>
      <c r="N191" s="2"/>
    </row>
    <row r="192" spans="1:14" ht="51" x14ac:dyDescent="0.2">
      <c r="A192" s="29">
        <v>120150</v>
      </c>
      <c r="B192" s="27" t="s">
        <v>172</v>
      </c>
      <c r="C192" s="10"/>
      <c r="D192" s="27" t="s">
        <v>171</v>
      </c>
      <c r="E192" s="27" t="s">
        <v>304</v>
      </c>
      <c r="F192" s="27" t="s">
        <v>303</v>
      </c>
      <c r="G192" s="28" t="s">
        <v>306</v>
      </c>
      <c r="H192" s="6">
        <v>42710</v>
      </c>
      <c r="I192" s="10"/>
      <c r="J192" s="2"/>
      <c r="K192" s="10"/>
      <c r="L192" s="28"/>
      <c r="M192" s="6"/>
      <c r="N192" s="2"/>
    </row>
    <row r="193" spans="1:14" ht="38.25" x14ac:dyDescent="0.2">
      <c r="A193" s="29">
        <v>120160</v>
      </c>
      <c r="B193" s="27" t="s">
        <v>173</v>
      </c>
      <c r="C193" s="10"/>
      <c r="D193" s="27" t="s">
        <v>174</v>
      </c>
      <c r="E193" s="27" t="s">
        <v>304</v>
      </c>
      <c r="F193" s="27" t="s">
        <v>303</v>
      </c>
      <c r="G193" s="28" t="s">
        <v>306</v>
      </c>
      <c r="H193" s="6">
        <v>42710</v>
      </c>
      <c r="I193" s="10"/>
      <c r="J193" s="2"/>
      <c r="K193" s="10"/>
      <c r="L193" s="28"/>
      <c r="M193" s="6"/>
      <c r="N193" s="2"/>
    </row>
    <row r="194" spans="1:14" x14ac:dyDescent="0.2">
      <c r="A194" s="29">
        <v>130000</v>
      </c>
      <c r="B194" s="27" t="s">
        <v>297</v>
      </c>
      <c r="C194" s="10"/>
      <c r="D194" s="2"/>
      <c r="E194" s="27"/>
      <c r="F194" s="27"/>
      <c r="G194" s="28"/>
      <c r="H194" s="6"/>
      <c r="I194" s="10"/>
      <c r="J194" s="2"/>
      <c r="K194" s="10"/>
      <c r="L194" s="28"/>
      <c r="M194" s="6"/>
      <c r="N194" s="2"/>
    </row>
    <row r="195" spans="1:14" ht="25.5" x14ac:dyDescent="0.2">
      <c r="A195" s="29">
        <v>130010</v>
      </c>
      <c r="B195" s="27" t="s">
        <v>376</v>
      </c>
      <c r="C195" s="10"/>
      <c r="D195" s="27" t="s">
        <v>377</v>
      </c>
      <c r="E195" s="27" t="s">
        <v>304</v>
      </c>
      <c r="F195" s="27" t="s">
        <v>303</v>
      </c>
      <c r="G195" s="28" t="s">
        <v>306</v>
      </c>
      <c r="H195" s="6">
        <v>42710</v>
      </c>
      <c r="I195" s="10"/>
      <c r="J195" s="2"/>
      <c r="K195" s="10"/>
      <c r="L195" s="28"/>
      <c r="M195" s="6"/>
      <c r="N195" s="2"/>
    </row>
    <row r="196" spans="1:14" ht="38.25" x14ac:dyDescent="0.2">
      <c r="A196" s="29">
        <v>130020</v>
      </c>
      <c r="B196" s="27" t="s">
        <v>378</v>
      </c>
      <c r="C196" s="10"/>
      <c r="D196" s="27" t="s">
        <v>379</v>
      </c>
      <c r="E196" s="27" t="s">
        <v>304</v>
      </c>
      <c r="F196" s="27" t="s">
        <v>303</v>
      </c>
      <c r="G196" s="28" t="s">
        <v>306</v>
      </c>
      <c r="H196" s="6">
        <v>42710</v>
      </c>
      <c r="I196" s="10"/>
      <c r="J196" s="2"/>
      <c r="K196" s="10"/>
      <c r="L196" s="28"/>
      <c r="M196" s="6"/>
      <c r="N196" s="2"/>
    </row>
    <row r="197" spans="1:14" x14ac:dyDescent="0.2">
      <c r="A197" s="29">
        <v>130030</v>
      </c>
      <c r="B197" s="2"/>
      <c r="C197" s="10"/>
      <c r="D197" s="2"/>
      <c r="E197" s="2"/>
      <c r="F197" s="27"/>
      <c r="G197" s="28"/>
      <c r="H197" s="6"/>
      <c r="I197" s="10"/>
      <c r="J197" s="2"/>
      <c r="K197" s="10"/>
      <c r="L197" s="28"/>
      <c r="M197" s="6"/>
      <c r="N197" s="2"/>
    </row>
    <row r="198" spans="1:14" x14ac:dyDescent="0.2">
      <c r="A198" s="29">
        <v>130040</v>
      </c>
      <c r="B198" s="2"/>
      <c r="C198" s="10"/>
      <c r="D198" s="2"/>
      <c r="E198" s="2"/>
      <c r="F198" s="27"/>
      <c r="G198" s="28"/>
      <c r="H198" s="6"/>
      <c r="I198" s="10"/>
      <c r="J198" s="2"/>
      <c r="K198" s="10"/>
      <c r="L198" s="28"/>
      <c r="M198" s="6"/>
      <c r="N198" s="2"/>
    </row>
    <row r="199" spans="1:14" x14ac:dyDescent="0.2">
      <c r="A199" s="29">
        <v>130050</v>
      </c>
      <c r="B199" s="2"/>
      <c r="C199" s="10"/>
      <c r="D199" s="2"/>
      <c r="E199" s="2"/>
      <c r="F199" s="27"/>
      <c r="G199" s="28"/>
      <c r="H199" s="6"/>
      <c r="I199" s="10"/>
      <c r="J199" s="2"/>
      <c r="K199" s="10"/>
      <c r="L199" s="28"/>
      <c r="M199" s="6"/>
      <c r="N199" s="2"/>
    </row>
    <row r="200" spans="1:14" x14ac:dyDescent="0.2">
      <c r="A200" s="29">
        <v>140000</v>
      </c>
      <c r="B200" s="27" t="s">
        <v>298</v>
      </c>
      <c r="C200" s="10"/>
      <c r="D200" s="2"/>
      <c r="E200" s="2"/>
      <c r="F200" s="27"/>
      <c r="G200" s="28"/>
      <c r="H200" s="6"/>
      <c r="I200" s="10"/>
      <c r="J200" s="2"/>
      <c r="K200" s="10"/>
      <c r="L200" s="28"/>
      <c r="M200" s="6"/>
      <c r="N200" s="2"/>
    </row>
    <row r="201" spans="1:14" ht="63.75" x14ac:dyDescent="0.2">
      <c r="A201" s="29">
        <v>140010</v>
      </c>
      <c r="B201" s="27" t="s">
        <v>380</v>
      </c>
      <c r="C201" s="10"/>
      <c r="D201" s="27" t="s">
        <v>381</v>
      </c>
      <c r="E201" s="27" t="s">
        <v>304</v>
      </c>
      <c r="F201" s="27" t="s">
        <v>398</v>
      </c>
      <c r="G201" s="28" t="s">
        <v>306</v>
      </c>
      <c r="H201" s="6">
        <v>42710</v>
      </c>
      <c r="I201" s="10"/>
      <c r="J201" s="2"/>
      <c r="K201" s="10"/>
      <c r="L201" s="28" t="s">
        <v>395</v>
      </c>
      <c r="M201" s="6">
        <v>42710</v>
      </c>
      <c r="N201" s="2"/>
    </row>
    <row r="202" spans="1:14" ht="25.5" x14ac:dyDescent="0.2">
      <c r="A202" s="29">
        <v>140020</v>
      </c>
      <c r="B202" s="27" t="s">
        <v>382</v>
      </c>
      <c r="C202" s="10"/>
      <c r="D202" s="27" t="s">
        <v>383</v>
      </c>
      <c r="E202" s="27" t="s">
        <v>304</v>
      </c>
      <c r="F202" s="27" t="s">
        <v>398</v>
      </c>
      <c r="G202" s="28" t="s">
        <v>306</v>
      </c>
      <c r="H202" s="6">
        <v>42710</v>
      </c>
      <c r="I202" s="10"/>
      <c r="J202" s="2"/>
      <c r="K202" s="10"/>
      <c r="L202" s="28" t="s">
        <v>395</v>
      </c>
      <c r="M202" s="6">
        <v>42710</v>
      </c>
      <c r="N202" s="2"/>
    </row>
    <row r="203" spans="1:14" ht="51" x14ac:dyDescent="0.2">
      <c r="A203" s="29">
        <v>140030</v>
      </c>
      <c r="B203" s="27" t="s">
        <v>384</v>
      </c>
      <c r="C203" s="10"/>
      <c r="D203" s="27" t="s">
        <v>385</v>
      </c>
      <c r="E203" s="27" t="s">
        <v>304</v>
      </c>
      <c r="F203" s="27" t="s">
        <v>303</v>
      </c>
      <c r="G203" s="28" t="s">
        <v>306</v>
      </c>
      <c r="H203" s="6">
        <v>42710</v>
      </c>
      <c r="I203" s="10"/>
      <c r="J203" s="2"/>
      <c r="K203" s="10"/>
      <c r="L203" s="28"/>
      <c r="M203" s="6"/>
      <c r="N203" s="2"/>
    </row>
    <row r="204" spans="1:14" ht="25.5" x14ac:dyDescent="0.2">
      <c r="A204" s="29">
        <v>140040</v>
      </c>
      <c r="B204" s="27" t="s">
        <v>386</v>
      </c>
      <c r="C204" s="10"/>
      <c r="D204" s="27" t="s">
        <v>387</v>
      </c>
      <c r="E204" s="27" t="s">
        <v>304</v>
      </c>
      <c r="F204" s="27" t="s">
        <v>303</v>
      </c>
      <c r="G204" s="28" t="s">
        <v>306</v>
      </c>
      <c r="H204" s="6">
        <v>42710</v>
      </c>
      <c r="I204" s="10"/>
      <c r="J204" s="2"/>
      <c r="K204" s="10"/>
      <c r="L204" s="28"/>
      <c r="M204" s="6"/>
      <c r="N204" s="2"/>
    </row>
    <row r="205" spans="1:14" x14ac:dyDescent="0.2">
      <c r="A205" s="29">
        <v>140050</v>
      </c>
      <c r="B205" s="2"/>
      <c r="C205" s="10"/>
      <c r="D205" s="2"/>
      <c r="E205" s="2"/>
      <c r="F205" s="27"/>
      <c r="G205" s="28"/>
      <c r="H205" s="6"/>
      <c r="I205" s="10"/>
      <c r="J205" s="2"/>
      <c r="K205" s="10"/>
      <c r="L205" s="28"/>
      <c r="M205" s="6"/>
      <c r="N205" s="2"/>
    </row>
    <row r="206" spans="1:14" x14ac:dyDescent="0.2">
      <c r="A206" s="29">
        <v>150000</v>
      </c>
      <c r="B206" s="27" t="s">
        <v>299</v>
      </c>
      <c r="C206" s="10"/>
      <c r="D206" s="2"/>
      <c r="E206" s="2"/>
      <c r="F206" s="27"/>
      <c r="G206" s="28"/>
      <c r="H206" s="6"/>
      <c r="I206" s="10"/>
      <c r="J206" s="2"/>
      <c r="K206" s="10"/>
      <c r="L206" s="28"/>
      <c r="M206" s="6"/>
      <c r="N206" s="2"/>
    </row>
    <row r="207" spans="1:14" ht="76.5" x14ac:dyDescent="0.2">
      <c r="A207" s="29">
        <v>150010</v>
      </c>
      <c r="B207" s="27" t="s">
        <v>301</v>
      </c>
      <c r="C207" s="10"/>
      <c r="D207" s="27" t="s">
        <v>302</v>
      </c>
      <c r="E207" s="27" t="s">
        <v>304</v>
      </c>
      <c r="F207" s="27" t="s">
        <v>303</v>
      </c>
      <c r="G207" s="28" t="s">
        <v>306</v>
      </c>
      <c r="H207" s="6">
        <v>42710</v>
      </c>
      <c r="I207" s="10"/>
      <c r="J207" s="2"/>
      <c r="K207" s="10"/>
      <c r="L207" s="28"/>
      <c r="M207" s="6"/>
      <c r="N207" s="2"/>
    </row>
    <row r="208" spans="1:14" ht="63.75" x14ac:dyDescent="0.2">
      <c r="A208" s="45" t="s">
        <v>390</v>
      </c>
      <c r="B208" s="27" t="s">
        <v>388</v>
      </c>
      <c r="C208" s="10"/>
      <c r="D208" s="27" t="s">
        <v>389</v>
      </c>
      <c r="E208" s="27" t="s">
        <v>304</v>
      </c>
      <c r="F208" s="27" t="s">
        <v>303</v>
      </c>
      <c r="G208" s="28" t="s">
        <v>306</v>
      </c>
      <c r="H208" s="6">
        <v>42710</v>
      </c>
      <c r="I208" s="10"/>
      <c r="J208" s="2"/>
      <c r="K208" s="10"/>
      <c r="L208" s="28"/>
      <c r="M208" s="6"/>
      <c r="N208" s="2"/>
    </row>
    <row r="209" spans="1:14" x14ac:dyDescent="0.2">
      <c r="A209" s="29">
        <v>160000</v>
      </c>
      <c r="B209" s="27" t="s">
        <v>300</v>
      </c>
      <c r="C209" s="10"/>
      <c r="D209" s="2"/>
      <c r="E209" s="2"/>
      <c r="F209" s="27"/>
      <c r="G209" s="28"/>
      <c r="H209" s="6"/>
      <c r="I209" s="10"/>
      <c r="J209" s="2"/>
      <c r="K209" s="10"/>
      <c r="L209" s="28"/>
      <c r="M209" s="6"/>
      <c r="N209" s="2"/>
    </row>
    <row r="210" spans="1:14" ht="51" x14ac:dyDescent="0.2">
      <c r="A210" s="29">
        <v>160010</v>
      </c>
      <c r="B210" s="27" t="s">
        <v>391</v>
      </c>
      <c r="C210" s="10"/>
      <c r="D210" s="27" t="s">
        <v>393</v>
      </c>
      <c r="E210" s="27" t="s">
        <v>304</v>
      </c>
      <c r="F210" s="27" t="s">
        <v>303</v>
      </c>
      <c r="G210" s="28" t="s">
        <v>306</v>
      </c>
      <c r="H210" s="6">
        <v>42710</v>
      </c>
      <c r="I210" s="10"/>
      <c r="J210" s="2"/>
      <c r="K210" s="10"/>
      <c r="L210" s="28"/>
      <c r="M210" s="6"/>
      <c r="N210" s="2"/>
    </row>
    <row r="211" spans="1:14" ht="38.25" x14ac:dyDescent="0.2">
      <c r="A211" s="29">
        <v>160020</v>
      </c>
      <c r="B211" s="27" t="s">
        <v>392</v>
      </c>
      <c r="C211" s="10"/>
      <c r="D211" s="27" t="s">
        <v>394</v>
      </c>
      <c r="E211" s="27" t="s">
        <v>304</v>
      </c>
      <c r="F211" s="27" t="s">
        <v>303</v>
      </c>
      <c r="G211" s="28" t="s">
        <v>306</v>
      </c>
      <c r="H211" s="6">
        <v>42710</v>
      </c>
      <c r="I211" s="10"/>
      <c r="J211" s="2"/>
      <c r="K211" s="10"/>
      <c r="L211" s="28"/>
      <c r="M211" s="6"/>
      <c r="N211" s="2"/>
    </row>
    <row r="212" spans="1:14" x14ac:dyDescent="0.2">
      <c r="A212" s="29">
        <v>160030</v>
      </c>
      <c r="B212" s="2"/>
      <c r="C212" s="10"/>
      <c r="D212" s="2"/>
      <c r="E212" s="2"/>
      <c r="F212" s="27"/>
      <c r="G212" s="28"/>
      <c r="H212" s="6"/>
      <c r="I212" s="10"/>
      <c r="J212" s="2"/>
      <c r="K212" s="10"/>
      <c r="L212" s="28"/>
      <c r="M212" s="6"/>
      <c r="N212" s="2"/>
    </row>
    <row r="213" spans="1:14" x14ac:dyDescent="0.2">
      <c r="A213" s="29">
        <v>160040</v>
      </c>
      <c r="B213" s="2"/>
      <c r="C213" s="10"/>
      <c r="D213" s="2"/>
      <c r="E213" s="2"/>
      <c r="F213" s="27"/>
      <c r="G213" s="28"/>
      <c r="H213" s="6"/>
      <c r="I213" s="10"/>
      <c r="J213" s="2"/>
      <c r="K213" s="10"/>
      <c r="L213" s="28"/>
      <c r="M213" s="6"/>
      <c r="N213" s="2"/>
    </row>
    <row r="214" spans="1:14" x14ac:dyDescent="0.2">
      <c r="A214" s="29">
        <v>160050</v>
      </c>
      <c r="B214" s="2"/>
      <c r="C214" s="10"/>
      <c r="D214" s="2"/>
      <c r="E214" s="2"/>
      <c r="F214" s="27"/>
      <c r="G214" s="28"/>
      <c r="H214" s="6"/>
      <c r="I214" s="10"/>
      <c r="J214" s="2"/>
      <c r="K214" s="10"/>
      <c r="L214" s="28"/>
      <c r="M214" s="6"/>
      <c r="N214" s="2"/>
    </row>
    <row r="215" spans="1:14" x14ac:dyDescent="0.2">
      <c r="A215" s="29">
        <v>170000</v>
      </c>
      <c r="B215" s="27" t="s">
        <v>346</v>
      </c>
      <c r="C215" s="10"/>
      <c r="D215" s="2"/>
      <c r="E215" s="2"/>
      <c r="F215" s="27"/>
      <c r="G215" s="28"/>
      <c r="H215" s="6"/>
      <c r="I215" s="10"/>
      <c r="J215" s="2"/>
      <c r="K215" s="10"/>
      <c r="L215" s="28"/>
      <c r="M215" s="6"/>
      <c r="N215" s="2"/>
    </row>
    <row r="216" spans="1:14" ht="25.5" x14ac:dyDescent="0.2">
      <c r="A216" s="29">
        <v>170010</v>
      </c>
      <c r="B216" s="27" t="s">
        <v>348</v>
      </c>
      <c r="C216" s="10"/>
      <c r="D216" s="27" t="s">
        <v>349</v>
      </c>
      <c r="E216" s="27" t="s">
        <v>304</v>
      </c>
      <c r="F216" s="27" t="s">
        <v>303</v>
      </c>
      <c r="G216" s="28" t="s">
        <v>306</v>
      </c>
      <c r="H216" s="6">
        <v>42703</v>
      </c>
      <c r="I216" s="10"/>
      <c r="J216" s="2"/>
      <c r="K216" s="10"/>
      <c r="L216" s="28"/>
      <c r="M216" s="6"/>
      <c r="N216" s="2"/>
    </row>
    <row r="217" spans="1:14" ht="76.5" x14ac:dyDescent="0.2">
      <c r="A217" s="29">
        <v>170020</v>
      </c>
      <c r="B217" s="27" t="s">
        <v>347</v>
      </c>
      <c r="C217" s="10"/>
      <c r="D217" s="27" t="s">
        <v>349</v>
      </c>
      <c r="E217" s="27" t="s">
        <v>304</v>
      </c>
      <c r="F217" s="27" t="s">
        <v>350</v>
      </c>
      <c r="G217" s="28" t="s">
        <v>306</v>
      </c>
      <c r="H217" s="6">
        <v>42703</v>
      </c>
      <c r="I217" s="10"/>
      <c r="J217" s="2"/>
      <c r="K217" s="10"/>
      <c r="L217" s="28" t="s">
        <v>306</v>
      </c>
      <c r="M217" s="6">
        <v>42703</v>
      </c>
      <c r="N217" s="27" t="s">
        <v>353</v>
      </c>
    </row>
    <row r="218" spans="1:14" x14ac:dyDescent="0.2">
      <c r="A218" s="29">
        <v>180000</v>
      </c>
      <c r="B218" s="27" t="s">
        <v>354</v>
      </c>
      <c r="C218" s="10"/>
      <c r="D218" s="2"/>
      <c r="E218" s="2"/>
      <c r="F218" s="27"/>
      <c r="G218" s="28"/>
      <c r="H218" s="6"/>
      <c r="I218" s="10"/>
      <c r="J218" s="2"/>
      <c r="K218" s="10"/>
      <c r="L218" s="28"/>
      <c r="M218" s="6"/>
      <c r="N218" s="2"/>
    </row>
    <row r="219" spans="1:14" ht="25.5" x14ac:dyDescent="0.2">
      <c r="A219" s="29">
        <v>180010</v>
      </c>
      <c r="B219" s="27" t="s">
        <v>355</v>
      </c>
      <c r="C219" s="10"/>
      <c r="D219" s="27" t="s">
        <v>357</v>
      </c>
      <c r="E219" s="27" t="s">
        <v>304</v>
      </c>
      <c r="F219" s="27" t="s">
        <v>303</v>
      </c>
      <c r="G219" s="28" t="s">
        <v>306</v>
      </c>
      <c r="H219" s="6">
        <v>42703</v>
      </c>
      <c r="I219" s="10"/>
      <c r="J219" s="2"/>
      <c r="K219" s="10"/>
      <c r="L219" s="28"/>
      <c r="M219" s="6"/>
      <c r="N219" s="2"/>
    </row>
    <row r="220" spans="1:14" ht="25.5" x14ac:dyDescent="0.2">
      <c r="A220" s="29">
        <v>180020</v>
      </c>
      <c r="B220" s="27" t="s">
        <v>356</v>
      </c>
      <c r="C220" s="10"/>
      <c r="D220" s="27" t="s">
        <v>357</v>
      </c>
      <c r="E220" s="27" t="s">
        <v>304</v>
      </c>
      <c r="F220" s="27" t="s">
        <v>303</v>
      </c>
      <c r="G220" s="28" t="s">
        <v>306</v>
      </c>
      <c r="H220" s="6">
        <v>42703</v>
      </c>
      <c r="I220" s="10"/>
      <c r="J220" s="2"/>
      <c r="K220" s="10"/>
      <c r="L220" s="28"/>
      <c r="M220" s="6"/>
      <c r="N220" s="2"/>
    </row>
    <row r="221" spans="1:14" x14ac:dyDescent="0.2">
      <c r="A221" s="29">
        <v>180030</v>
      </c>
      <c r="B221" s="2"/>
      <c r="C221" s="10"/>
      <c r="D221" s="2"/>
      <c r="E221" s="2"/>
      <c r="F221" s="27"/>
      <c r="G221" s="28"/>
      <c r="H221" s="6"/>
      <c r="I221" s="10"/>
      <c r="J221" s="2"/>
      <c r="K221" s="10"/>
      <c r="L221" s="28"/>
      <c r="M221" s="6"/>
      <c r="N221" s="2"/>
    </row>
    <row r="222" spans="1:14" x14ac:dyDescent="0.2">
      <c r="A222" s="29">
        <v>180040</v>
      </c>
      <c r="B222" s="2"/>
      <c r="C222" s="10"/>
      <c r="D222" s="2"/>
      <c r="E222" s="2"/>
      <c r="F222" s="27"/>
      <c r="G222" s="28"/>
      <c r="H222" s="6"/>
      <c r="I222" s="10"/>
      <c r="J222" s="2"/>
      <c r="K222" s="10"/>
      <c r="L222" s="28"/>
      <c r="M222" s="6"/>
      <c r="N222" s="2"/>
    </row>
    <row r="223" spans="1:14" x14ac:dyDescent="0.2">
      <c r="A223" s="29">
        <v>180050</v>
      </c>
      <c r="B223" s="2"/>
      <c r="C223" s="10"/>
      <c r="D223" s="2"/>
      <c r="E223" s="2"/>
      <c r="F223" s="27"/>
      <c r="G223" s="28"/>
      <c r="H223" s="6"/>
      <c r="I223" s="10"/>
      <c r="J223" s="2"/>
      <c r="K223" s="10"/>
      <c r="L223" s="28"/>
      <c r="M223" s="6"/>
      <c r="N223" s="2"/>
    </row>
    <row r="224" spans="1:14" ht="25.5" x14ac:dyDescent="0.2">
      <c r="A224" s="29">
        <v>190000</v>
      </c>
      <c r="B224" s="27" t="s">
        <v>470</v>
      </c>
      <c r="C224" s="10"/>
      <c r="D224" s="2"/>
      <c r="E224" s="2"/>
      <c r="F224" s="27"/>
      <c r="G224" s="28"/>
      <c r="H224" s="6"/>
      <c r="I224" s="10"/>
      <c r="J224" s="2"/>
      <c r="K224" s="10"/>
      <c r="L224" s="28"/>
      <c r="M224" s="6"/>
      <c r="N224" s="2"/>
    </row>
    <row r="225" spans="1:14" ht="51" x14ac:dyDescent="0.2">
      <c r="A225" s="47">
        <v>190010</v>
      </c>
      <c r="B225" s="48" t="s">
        <v>440</v>
      </c>
      <c r="C225" s="49"/>
      <c r="D225" s="48" t="s">
        <v>441</v>
      </c>
      <c r="E225" s="48" t="s">
        <v>304</v>
      </c>
      <c r="F225" s="48" t="s">
        <v>402</v>
      </c>
      <c r="G225" s="50" t="s">
        <v>442</v>
      </c>
      <c r="H225" s="53" t="s">
        <v>443</v>
      </c>
      <c r="I225" s="10"/>
      <c r="J225" s="2"/>
      <c r="K225" s="10"/>
      <c r="L225" s="28"/>
      <c r="M225" s="6"/>
      <c r="N225" s="2"/>
    </row>
    <row r="226" spans="1:14" ht="38.25" x14ac:dyDescent="0.2">
      <c r="A226" s="47">
        <v>190020</v>
      </c>
      <c r="B226" s="48" t="s">
        <v>444</v>
      </c>
      <c r="C226" s="49"/>
      <c r="D226" s="48" t="s">
        <v>445</v>
      </c>
      <c r="E226" s="48" t="s">
        <v>304</v>
      </c>
      <c r="F226" s="48" t="s">
        <v>303</v>
      </c>
      <c r="G226" s="50" t="s">
        <v>306</v>
      </c>
      <c r="H226" s="51">
        <v>42762</v>
      </c>
      <c r="I226" s="10"/>
      <c r="J226" s="2"/>
      <c r="K226" s="10"/>
      <c r="L226" s="28"/>
      <c r="M226" s="6"/>
      <c r="N226" s="2"/>
    </row>
    <row r="227" spans="1:14" ht="25.5" x14ac:dyDescent="0.2">
      <c r="A227" s="47">
        <v>190030</v>
      </c>
      <c r="B227" s="48" t="s">
        <v>446</v>
      </c>
      <c r="C227" s="49"/>
      <c r="D227" s="48" t="s">
        <v>447</v>
      </c>
      <c r="E227" s="48" t="s">
        <v>304</v>
      </c>
      <c r="F227" s="48" t="s">
        <v>303</v>
      </c>
      <c r="G227" s="50" t="s">
        <v>306</v>
      </c>
      <c r="H227" s="51">
        <v>42762</v>
      </c>
      <c r="I227" s="10"/>
      <c r="J227" s="2"/>
      <c r="K227" s="10"/>
      <c r="L227" s="28"/>
      <c r="M227" s="6"/>
      <c r="N227" s="2"/>
    </row>
    <row r="228" spans="1:14" ht="25.5" x14ac:dyDescent="0.2">
      <c r="A228" s="47">
        <v>190040</v>
      </c>
      <c r="B228" s="48" t="s">
        <v>448</v>
      </c>
      <c r="C228" s="49"/>
      <c r="D228" s="52" t="s">
        <v>448</v>
      </c>
      <c r="E228" s="48" t="s">
        <v>304</v>
      </c>
      <c r="F228" s="48" t="s">
        <v>303</v>
      </c>
      <c r="G228" s="50" t="s">
        <v>395</v>
      </c>
      <c r="H228" s="51">
        <v>42762</v>
      </c>
      <c r="I228" s="10"/>
      <c r="J228" s="2"/>
      <c r="K228" s="10"/>
      <c r="L228" s="28"/>
      <c r="M228" s="6"/>
      <c r="N228" s="2"/>
    </row>
    <row r="229" spans="1:14" ht="38.25" x14ac:dyDescent="0.2">
      <c r="A229" s="47">
        <v>190050</v>
      </c>
      <c r="B229" s="48" t="s">
        <v>449</v>
      </c>
      <c r="C229" s="49"/>
      <c r="D229" s="48" t="s">
        <v>450</v>
      </c>
      <c r="E229" s="48" t="s">
        <v>304</v>
      </c>
      <c r="F229" s="48" t="s">
        <v>303</v>
      </c>
      <c r="G229" s="50" t="s">
        <v>306</v>
      </c>
      <c r="H229" s="51">
        <v>42762</v>
      </c>
      <c r="I229" s="10"/>
      <c r="J229" s="2"/>
      <c r="K229" s="10"/>
      <c r="L229" s="28"/>
      <c r="M229" s="6"/>
      <c r="N229" s="2"/>
    </row>
    <row r="230" spans="1:14" ht="25.5" x14ac:dyDescent="0.2">
      <c r="A230" s="47">
        <v>190060</v>
      </c>
      <c r="B230" s="48" t="s">
        <v>451</v>
      </c>
      <c r="C230" s="49"/>
      <c r="D230" s="48" t="s">
        <v>452</v>
      </c>
      <c r="E230" s="48" t="s">
        <v>304</v>
      </c>
      <c r="F230" s="48" t="s">
        <v>303</v>
      </c>
      <c r="G230" s="50" t="s">
        <v>306</v>
      </c>
      <c r="H230" s="51">
        <v>42762</v>
      </c>
      <c r="I230" s="10"/>
      <c r="J230" s="2"/>
      <c r="K230" s="10"/>
      <c r="L230" s="28"/>
      <c r="M230" s="6"/>
      <c r="N230" s="2"/>
    </row>
    <row r="231" spans="1:14" ht="38.25" x14ac:dyDescent="0.2">
      <c r="A231" s="47">
        <v>190070</v>
      </c>
      <c r="B231" s="48" t="s">
        <v>453</v>
      </c>
      <c r="C231" s="49"/>
      <c r="D231" s="52" t="s">
        <v>453</v>
      </c>
      <c r="E231" s="48" t="s">
        <v>304</v>
      </c>
      <c r="F231" s="48" t="s">
        <v>303</v>
      </c>
      <c r="G231" s="50" t="s">
        <v>306</v>
      </c>
      <c r="H231" s="51">
        <v>42762</v>
      </c>
      <c r="I231" s="10"/>
      <c r="J231" s="2"/>
      <c r="K231" s="10"/>
      <c r="L231" s="28"/>
      <c r="M231" s="6"/>
      <c r="N231" s="2"/>
    </row>
    <row r="232" spans="1:14" ht="25.5" x14ac:dyDescent="0.2">
      <c r="A232" s="47">
        <v>190080</v>
      </c>
      <c r="B232" s="48" t="s">
        <v>454</v>
      </c>
      <c r="C232" s="49"/>
      <c r="D232" s="48" t="s">
        <v>455</v>
      </c>
      <c r="E232" s="48" t="s">
        <v>304</v>
      </c>
      <c r="F232" s="48" t="s">
        <v>303</v>
      </c>
      <c r="G232" s="50" t="s">
        <v>395</v>
      </c>
      <c r="H232" s="51">
        <v>42762</v>
      </c>
      <c r="I232" s="10"/>
      <c r="J232" s="2"/>
      <c r="K232" s="10"/>
      <c r="L232" s="28"/>
      <c r="M232" s="6"/>
      <c r="N232" s="2"/>
    </row>
    <row r="233" spans="1:14" ht="38.25" x14ac:dyDescent="0.2">
      <c r="A233" s="47">
        <v>190090</v>
      </c>
      <c r="B233" s="48" t="s">
        <v>456</v>
      </c>
      <c r="C233" s="49"/>
      <c r="D233" s="48" t="s">
        <v>457</v>
      </c>
      <c r="E233" s="48" t="s">
        <v>304</v>
      </c>
      <c r="F233" s="48" t="s">
        <v>303</v>
      </c>
      <c r="G233" s="50" t="s">
        <v>471</v>
      </c>
      <c r="H233" s="51">
        <v>42762</v>
      </c>
      <c r="I233" s="10"/>
      <c r="J233" s="2"/>
      <c r="K233" s="10"/>
      <c r="L233" s="28"/>
      <c r="M233" s="6"/>
      <c r="N233" s="2"/>
    </row>
    <row r="234" spans="1:14" ht="38.25" x14ac:dyDescent="0.2">
      <c r="A234" s="47">
        <v>190100</v>
      </c>
      <c r="B234" s="48" t="s">
        <v>458</v>
      </c>
      <c r="C234" s="49"/>
      <c r="D234" s="48" t="s">
        <v>459</v>
      </c>
      <c r="E234" s="48" t="s">
        <v>304</v>
      </c>
      <c r="F234" s="48" t="s">
        <v>303</v>
      </c>
      <c r="G234" s="50" t="s">
        <v>306</v>
      </c>
      <c r="H234" s="51">
        <v>42762</v>
      </c>
      <c r="I234" s="10"/>
      <c r="J234" s="2"/>
      <c r="K234" s="10"/>
      <c r="L234" s="28"/>
      <c r="M234" s="6"/>
      <c r="N234" s="2"/>
    </row>
    <row r="235" spans="1:14" ht="38.25" x14ac:dyDescent="0.2">
      <c r="A235" s="47">
        <v>190110</v>
      </c>
      <c r="B235" s="48" t="s">
        <v>460</v>
      </c>
      <c r="C235" s="49"/>
      <c r="D235" s="48" t="s">
        <v>461</v>
      </c>
      <c r="E235" s="48" t="s">
        <v>304</v>
      </c>
      <c r="F235" s="48" t="s">
        <v>303</v>
      </c>
      <c r="G235" s="50" t="s">
        <v>395</v>
      </c>
      <c r="H235" s="51">
        <v>42762</v>
      </c>
      <c r="I235" s="10"/>
      <c r="J235" s="2"/>
      <c r="K235" s="10"/>
      <c r="L235" s="28"/>
      <c r="M235" s="6"/>
      <c r="N235" s="2"/>
    </row>
    <row r="236" spans="1:14" ht="25.5" x14ac:dyDescent="0.2">
      <c r="A236" s="47">
        <v>190120</v>
      </c>
      <c r="B236" s="48" t="s">
        <v>464</v>
      </c>
      <c r="C236" s="49"/>
      <c r="D236" s="48" t="s">
        <v>465</v>
      </c>
      <c r="E236" s="48" t="s">
        <v>304</v>
      </c>
      <c r="F236" s="48" t="s">
        <v>303</v>
      </c>
      <c r="G236" s="50" t="s">
        <v>306</v>
      </c>
      <c r="H236" s="51">
        <v>42762</v>
      </c>
      <c r="I236" s="10"/>
      <c r="J236" s="2"/>
      <c r="K236" s="10"/>
      <c r="L236" s="28"/>
      <c r="M236" s="6"/>
      <c r="N236" s="2"/>
    </row>
    <row r="237" spans="1:14" ht="51" x14ac:dyDescent="0.2">
      <c r="A237" s="47">
        <v>190130</v>
      </c>
      <c r="B237" s="48" t="s">
        <v>472</v>
      </c>
      <c r="C237" s="49"/>
      <c r="D237" s="48" t="s">
        <v>475</v>
      </c>
      <c r="E237" s="48" t="s">
        <v>304</v>
      </c>
      <c r="F237" s="48" t="s">
        <v>303</v>
      </c>
      <c r="G237" s="50" t="s">
        <v>306</v>
      </c>
      <c r="H237" s="51">
        <v>42766</v>
      </c>
      <c r="I237" s="10"/>
      <c r="J237" s="2"/>
      <c r="K237" s="10"/>
      <c r="L237" s="28"/>
      <c r="M237" s="6"/>
      <c r="N237" s="2"/>
    </row>
    <row r="238" spans="1:14" ht="51" x14ac:dyDescent="0.2">
      <c r="A238" s="47">
        <v>190140</v>
      </c>
      <c r="B238" s="48" t="s">
        <v>473</v>
      </c>
      <c r="C238" s="49"/>
      <c r="D238" s="48" t="s">
        <v>476</v>
      </c>
      <c r="E238" s="48" t="s">
        <v>304</v>
      </c>
      <c r="F238" s="48" t="s">
        <v>303</v>
      </c>
      <c r="G238" s="50" t="s">
        <v>306</v>
      </c>
      <c r="H238" s="51">
        <v>42766</v>
      </c>
      <c r="I238" s="10"/>
      <c r="J238" s="2"/>
      <c r="K238" s="10"/>
      <c r="L238" s="28"/>
      <c r="M238" s="6"/>
      <c r="N238" s="2"/>
    </row>
    <row r="239" spans="1:14" ht="38.25" x14ac:dyDescent="0.2">
      <c r="A239" s="47">
        <v>190150</v>
      </c>
      <c r="B239" s="48" t="s">
        <v>474</v>
      </c>
      <c r="C239" s="49"/>
      <c r="D239" s="48" t="s">
        <v>477</v>
      </c>
      <c r="E239" s="48" t="s">
        <v>304</v>
      </c>
      <c r="F239" s="48" t="s">
        <v>303</v>
      </c>
      <c r="G239" s="50" t="s">
        <v>306</v>
      </c>
      <c r="H239" s="51">
        <v>42766</v>
      </c>
      <c r="I239" s="10"/>
      <c r="J239" s="2"/>
      <c r="K239" s="10"/>
      <c r="L239" s="28"/>
      <c r="M239" s="6"/>
      <c r="N239" s="2"/>
    </row>
    <row r="240" spans="1:14" x14ac:dyDescent="0.2">
      <c r="A240" s="47">
        <v>190160</v>
      </c>
      <c r="B240" s="2"/>
      <c r="C240" s="10"/>
      <c r="D240" s="2"/>
      <c r="E240" s="2"/>
      <c r="F240" s="27"/>
      <c r="G240" s="28"/>
      <c r="H240" s="6"/>
      <c r="I240" s="10"/>
      <c r="J240" s="2"/>
      <c r="K240" s="10"/>
      <c r="L240" s="28"/>
      <c r="M240" s="6"/>
      <c r="N240" s="2"/>
    </row>
    <row r="241" spans="1:14" x14ac:dyDescent="0.2">
      <c r="A241" s="29">
        <v>200000</v>
      </c>
      <c r="B241" s="2"/>
      <c r="C241" s="10"/>
      <c r="D241" s="2"/>
      <c r="E241" s="2"/>
      <c r="F241" s="27"/>
      <c r="G241" s="28"/>
      <c r="H241" s="6"/>
      <c r="I241" s="10"/>
      <c r="J241" s="2"/>
      <c r="K241" s="10"/>
      <c r="L241" s="28"/>
      <c r="M241" s="6"/>
      <c r="N241" s="2"/>
    </row>
    <row r="242" spans="1:14" x14ac:dyDescent="0.2">
      <c r="A242" s="29">
        <v>200010</v>
      </c>
      <c r="B242" s="2"/>
      <c r="C242" s="10"/>
      <c r="D242" s="2"/>
      <c r="E242" s="2"/>
      <c r="F242" s="27"/>
      <c r="G242" s="28"/>
      <c r="H242" s="6"/>
      <c r="I242" s="10"/>
      <c r="J242" s="2"/>
      <c r="K242" s="10"/>
      <c r="L242" s="28"/>
      <c r="M242" s="6"/>
      <c r="N242" s="2"/>
    </row>
    <row r="243" spans="1:14" x14ac:dyDescent="0.2">
      <c r="A243" s="29">
        <v>200020</v>
      </c>
      <c r="B243" s="2"/>
      <c r="C243" s="10"/>
      <c r="D243" s="2"/>
      <c r="E243" s="2"/>
      <c r="F243" s="27"/>
      <c r="G243" s="28"/>
      <c r="H243" s="6"/>
      <c r="I243" s="10"/>
      <c r="J243" s="2"/>
      <c r="K243" s="10"/>
      <c r="L243" s="28"/>
      <c r="M243" s="6"/>
      <c r="N243" s="2"/>
    </row>
    <row r="244" spans="1:14" x14ac:dyDescent="0.2">
      <c r="A244" s="29">
        <v>200030</v>
      </c>
      <c r="B244" s="2"/>
      <c r="C244" s="10"/>
      <c r="D244" s="2"/>
      <c r="E244" s="2"/>
      <c r="F244" s="27"/>
      <c r="G244" s="28"/>
      <c r="H244" s="6"/>
      <c r="I244" s="10"/>
      <c r="J244" s="2"/>
      <c r="K244" s="10"/>
      <c r="L244" s="28"/>
      <c r="M244" s="6"/>
      <c r="N244" s="2"/>
    </row>
    <row r="245" spans="1:14" x14ac:dyDescent="0.2">
      <c r="A245" s="29">
        <v>200040</v>
      </c>
      <c r="B245" s="2"/>
      <c r="C245" s="10"/>
      <c r="D245" s="2"/>
      <c r="E245" s="2"/>
      <c r="F245" s="27"/>
      <c r="G245" s="28"/>
      <c r="H245" s="6"/>
      <c r="I245" s="10"/>
      <c r="J245" s="2"/>
      <c r="K245" s="10"/>
      <c r="L245" s="28"/>
      <c r="M245" s="6"/>
      <c r="N245" s="2"/>
    </row>
    <row r="246" spans="1:14" x14ac:dyDescent="0.2">
      <c r="A246" s="29">
        <v>200050</v>
      </c>
      <c r="B246" s="2"/>
      <c r="C246" s="10"/>
      <c r="D246" s="2"/>
      <c r="E246" s="2"/>
      <c r="F246" s="27"/>
      <c r="G246" s="28"/>
      <c r="H246" s="6"/>
      <c r="I246" s="10"/>
      <c r="J246" s="2"/>
      <c r="K246" s="10"/>
      <c r="L246" s="28"/>
      <c r="M246" s="6"/>
      <c r="N246" s="2"/>
    </row>
    <row r="247" spans="1:14" x14ac:dyDescent="0.2">
      <c r="A247" s="29">
        <v>210000</v>
      </c>
      <c r="B247" s="2"/>
      <c r="C247" s="10"/>
      <c r="D247" s="2"/>
      <c r="E247" s="2"/>
      <c r="F247" s="27"/>
      <c r="G247" s="28"/>
      <c r="H247" s="6"/>
      <c r="I247" s="10"/>
      <c r="J247" s="2"/>
      <c r="K247" s="10"/>
      <c r="L247" s="28"/>
      <c r="M247" s="6"/>
      <c r="N247" s="2"/>
    </row>
    <row r="248" spans="1:14" x14ac:dyDescent="0.2">
      <c r="A248" s="29">
        <v>210010</v>
      </c>
      <c r="B248" s="2"/>
      <c r="C248" s="10"/>
      <c r="D248" s="2"/>
      <c r="E248" s="2"/>
      <c r="F248" s="27"/>
      <c r="G248" s="28"/>
      <c r="H248" s="6"/>
      <c r="I248" s="10"/>
      <c r="J248" s="2"/>
      <c r="K248" s="10"/>
      <c r="L248" s="28"/>
      <c r="M248" s="6"/>
      <c r="N248" s="2"/>
    </row>
    <row r="249" spans="1:14" x14ac:dyDescent="0.2">
      <c r="A249" s="29">
        <v>210020</v>
      </c>
      <c r="B249" s="2"/>
      <c r="C249" s="10"/>
      <c r="D249" s="2"/>
      <c r="E249" s="2"/>
      <c r="F249" s="27"/>
      <c r="G249" s="28"/>
      <c r="H249" s="6"/>
      <c r="I249" s="10"/>
      <c r="J249" s="2"/>
      <c r="K249" s="10"/>
      <c r="L249" s="28"/>
      <c r="M249" s="6"/>
      <c r="N249" s="2"/>
    </row>
    <row r="250" spans="1:14" x14ac:dyDescent="0.2">
      <c r="A250" s="29">
        <v>210030</v>
      </c>
      <c r="B250" s="2"/>
      <c r="C250" s="10"/>
      <c r="D250" s="2"/>
      <c r="E250" s="2"/>
      <c r="F250" s="27"/>
      <c r="G250" s="28"/>
      <c r="H250" s="6"/>
      <c r="I250" s="10"/>
      <c r="J250" s="2"/>
      <c r="K250" s="10"/>
      <c r="L250" s="28"/>
      <c r="M250" s="6"/>
      <c r="N250" s="2"/>
    </row>
    <row r="251" spans="1:14" x14ac:dyDescent="0.2">
      <c r="A251" s="29">
        <v>210040</v>
      </c>
      <c r="B251" s="2"/>
      <c r="C251" s="10"/>
      <c r="D251" s="2"/>
      <c r="E251" s="2"/>
      <c r="F251" s="27"/>
      <c r="G251" s="28"/>
      <c r="H251" s="6"/>
      <c r="I251" s="10"/>
      <c r="J251" s="2"/>
      <c r="K251" s="10"/>
      <c r="L251" s="28"/>
      <c r="M251" s="6"/>
      <c r="N251" s="2"/>
    </row>
    <row r="252" spans="1:14" x14ac:dyDescent="0.2">
      <c r="A252" s="29">
        <v>210050</v>
      </c>
      <c r="B252" s="2"/>
      <c r="C252" s="10"/>
      <c r="D252" s="2"/>
      <c r="E252" s="2"/>
      <c r="F252" s="27"/>
      <c r="G252" s="28"/>
      <c r="H252" s="6"/>
      <c r="I252" s="10"/>
      <c r="J252" s="2"/>
      <c r="K252" s="10"/>
      <c r="L252" s="28"/>
      <c r="M252" s="6"/>
      <c r="N252" s="2"/>
    </row>
    <row r="253" spans="1:14" x14ac:dyDescent="0.2">
      <c r="A253" s="29">
        <v>220000</v>
      </c>
      <c r="B253" s="2"/>
      <c r="C253" s="10"/>
      <c r="D253" s="2"/>
      <c r="E253" s="2"/>
      <c r="F253" s="27"/>
      <c r="G253" s="28"/>
      <c r="H253" s="6"/>
      <c r="I253" s="10"/>
      <c r="J253" s="2"/>
      <c r="K253" s="10"/>
      <c r="L253" s="28"/>
      <c r="M253" s="6"/>
      <c r="N253" s="2"/>
    </row>
    <row r="254" spans="1:14" x14ac:dyDescent="0.2">
      <c r="A254" s="29">
        <v>220010</v>
      </c>
      <c r="B254" s="2"/>
      <c r="C254" s="10"/>
      <c r="D254" s="2"/>
      <c r="E254" s="2"/>
      <c r="F254" s="27"/>
      <c r="G254" s="28"/>
      <c r="H254" s="6"/>
      <c r="I254" s="10"/>
      <c r="J254" s="2"/>
      <c r="K254" s="10"/>
      <c r="L254" s="28"/>
      <c r="M254" s="6"/>
      <c r="N254" s="2"/>
    </row>
    <row r="255" spans="1:14" x14ac:dyDescent="0.2">
      <c r="A255" s="29">
        <v>220020</v>
      </c>
      <c r="B255" s="2"/>
      <c r="C255" s="10"/>
      <c r="D255" s="2"/>
      <c r="E255" s="2"/>
      <c r="F255" s="27"/>
      <c r="G255" s="28"/>
      <c r="H255" s="6"/>
      <c r="I255" s="10"/>
      <c r="J255" s="2"/>
      <c r="K255" s="10"/>
      <c r="L255" s="28"/>
      <c r="M255" s="6"/>
      <c r="N255" s="2"/>
    </row>
    <row r="256" spans="1:14" x14ac:dyDescent="0.2">
      <c r="A256" s="29">
        <v>220030</v>
      </c>
      <c r="B256" s="2"/>
      <c r="C256" s="10"/>
      <c r="D256" s="2"/>
      <c r="E256" s="2"/>
      <c r="F256" s="27"/>
      <c r="G256" s="28"/>
      <c r="H256" s="6"/>
      <c r="I256" s="10"/>
      <c r="J256" s="2"/>
      <c r="K256" s="10"/>
      <c r="L256" s="28"/>
      <c r="M256" s="6"/>
      <c r="N256" s="2"/>
    </row>
    <row r="257" spans="1:14" x14ac:dyDescent="0.2">
      <c r="A257" s="29">
        <v>220040</v>
      </c>
      <c r="B257" s="2"/>
      <c r="C257" s="10"/>
      <c r="D257" s="2"/>
      <c r="E257" s="2"/>
      <c r="F257" s="27"/>
      <c r="G257" s="28"/>
      <c r="H257" s="6"/>
      <c r="I257" s="10"/>
      <c r="J257" s="2"/>
      <c r="K257" s="10"/>
      <c r="L257" s="28"/>
      <c r="M257" s="6"/>
      <c r="N257" s="2"/>
    </row>
    <row r="258" spans="1:14" x14ac:dyDescent="0.2">
      <c r="A258" s="29">
        <v>220050</v>
      </c>
      <c r="B258" s="2"/>
      <c r="C258" s="10"/>
      <c r="D258" s="2"/>
      <c r="E258" s="2"/>
      <c r="F258" s="27"/>
      <c r="G258" s="28"/>
      <c r="H258" s="6"/>
      <c r="I258" s="10"/>
      <c r="J258" s="2"/>
      <c r="K258" s="10"/>
      <c r="L258" s="28"/>
      <c r="M258" s="6"/>
      <c r="N258" s="2"/>
    </row>
    <row r="259" spans="1:14" x14ac:dyDescent="0.2">
      <c r="A259" s="29">
        <v>230000</v>
      </c>
      <c r="B259" s="2"/>
      <c r="C259" s="10"/>
      <c r="D259" s="2"/>
      <c r="E259" s="2"/>
      <c r="F259" s="27"/>
      <c r="G259" s="28"/>
      <c r="H259" s="6"/>
      <c r="I259" s="10"/>
      <c r="J259" s="2"/>
      <c r="K259" s="10"/>
      <c r="L259" s="28"/>
      <c r="M259" s="6"/>
      <c r="N259" s="2"/>
    </row>
    <row r="260" spans="1:14" x14ac:dyDescent="0.2">
      <c r="A260" s="29">
        <v>230010</v>
      </c>
      <c r="B260" s="2"/>
      <c r="C260" s="10"/>
      <c r="D260" s="2"/>
      <c r="E260" s="2"/>
      <c r="F260" s="27"/>
      <c r="G260" s="28"/>
      <c r="H260" s="6"/>
      <c r="I260" s="10"/>
      <c r="J260" s="2"/>
      <c r="K260" s="10"/>
      <c r="L260" s="28"/>
      <c r="M260" s="6"/>
      <c r="N260" s="2"/>
    </row>
    <row r="261" spans="1:14" x14ac:dyDescent="0.2">
      <c r="A261" s="29">
        <v>230020</v>
      </c>
      <c r="B261" s="2"/>
      <c r="C261" s="10"/>
      <c r="D261" s="2"/>
      <c r="E261" s="2"/>
      <c r="F261" s="27"/>
      <c r="G261" s="28"/>
      <c r="H261" s="6"/>
      <c r="I261" s="10"/>
      <c r="J261" s="2"/>
      <c r="K261" s="10"/>
      <c r="L261" s="28"/>
      <c r="M261" s="6"/>
      <c r="N261" s="2"/>
    </row>
    <row r="262" spans="1:14" x14ac:dyDescent="0.2">
      <c r="A262" s="29">
        <v>230030</v>
      </c>
      <c r="B262" s="2"/>
      <c r="C262" s="10"/>
      <c r="D262" s="2"/>
      <c r="E262" s="2"/>
      <c r="F262" s="27"/>
      <c r="G262" s="28"/>
      <c r="H262" s="6"/>
      <c r="I262" s="10"/>
      <c r="J262" s="2"/>
      <c r="K262" s="10"/>
      <c r="L262" s="28"/>
      <c r="M262" s="6"/>
      <c r="N262" s="2"/>
    </row>
    <row r="263" spans="1:14" x14ac:dyDescent="0.2">
      <c r="A263" s="29">
        <v>230040</v>
      </c>
      <c r="B263" s="2"/>
      <c r="C263" s="10"/>
      <c r="D263" s="2"/>
      <c r="E263" s="2"/>
      <c r="F263" s="27"/>
      <c r="G263" s="28"/>
      <c r="H263" s="6"/>
      <c r="I263" s="10"/>
      <c r="J263" s="2"/>
      <c r="K263" s="10"/>
      <c r="L263" s="28"/>
      <c r="M263" s="6"/>
      <c r="N263" s="2"/>
    </row>
    <row r="264" spans="1:14" x14ac:dyDescent="0.2">
      <c r="A264" s="29">
        <v>230050</v>
      </c>
      <c r="B264" s="2"/>
      <c r="C264" s="10"/>
      <c r="D264" s="2"/>
      <c r="E264" s="2"/>
      <c r="F264" s="27"/>
      <c r="G264" s="28"/>
      <c r="H264" s="6"/>
      <c r="I264" s="10"/>
      <c r="J264" s="2"/>
      <c r="K264" s="10"/>
      <c r="L264" s="28"/>
      <c r="M264" s="6"/>
      <c r="N264" s="2"/>
    </row>
    <row r="265" spans="1:14" x14ac:dyDescent="0.2">
      <c r="A265" s="29">
        <v>240000</v>
      </c>
      <c r="B265" s="2"/>
      <c r="C265" s="10"/>
      <c r="D265" s="2"/>
      <c r="E265" s="2"/>
      <c r="F265" s="27"/>
      <c r="G265" s="28"/>
      <c r="H265" s="6"/>
      <c r="I265" s="10"/>
      <c r="J265" s="2"/>
      <c r="K265" s="10"/>
      <c r="L265" s="28"/>
      <c r="M265" s="6"/>
      <c r="N265" s="2"/>
    </row>
    <row r="266" spans="1:14" x14ac:dyDescent="0.2">
      <c r="A266" s="29">
        <v>240010</v>
      </c>
      <c r="B266" s="2"/>
      <c r="C266" s="10"/>
      <c r="D266" s="2"/>
      <c r="E266" s="2"/>
      <c r="F266" s="27"/>
      <c r="G266" s="28"/>
      <c r="H266" s="6"/>
      <c r="I266" s="10"/>
      <c r="J266" s="2"/>
      <c r="K266" s="10"/>
      <c r="L266" s="28"/>
      <c r="M266" s="6"/>
      <c r="N266" s="2"/>
    </row>
    <row r="267" spans="1:14" x14ac:dyDescent="0.2">
      <c r="A267" s="29">
        <v>240020</v>
      </c>
      <c r="B267" s="2"/>
      <c r="C267" s="10"/>
      <c r="D267" s="2"/>
      <c r="E267" s="2"/>
      <c r="F267" s="27"/>
      <c r="G267" s="28"/>
      <c r="H267" s="6"/>
      <c r="I267" s="10"/>
      <c r="J267" s="2"/>
      <c r="K267" s="10"/>
      <c r="L267" s="28"/>
      <c r="M267" s="6"/>
      <c r="N267" s="2"/>
    </row>
    <row r="268" spans="1:14" x14ac:dyDescent="0.2">
      <c r="A268" s="29">
        <v>240030</v>
      </c>
      <c r="B268" s="2"/>
      <c r="C268" s="10"/>
      <c r="D268" s="2"/>
      <c r="E268" s="2"/>
      <c r="F268" s="27"/>
      <c r="G268" s="28"/>
      <c r="H268" s="6"/>
      <c r="I268" s="10"/>
      <c r="J268" s="2"/>
      <c r="K268" s="10"/>
      <c r="L268" s="28"/>
      <c r="M268" s="6"/>
      <c r="N268" s="2"/>
    </row>
    <row r="269" spans="1:14" x14ac:dyDescent="0.2">
      <c r="A269" s="29">
        <v>240040</v>
      </c>
      <c r="B269" s="2"/>
      <c r="C269" s="10"/>
      <c r="D269" s="2"/>
      <c r="E269" s="2"/>
      <c r="F269" s="27"/>
      <c r="G269" s="28"/>
      <c r="H269" s="6"/>
      <c r="I269" s="10"/>
      <c r="J269" s="2"/>
      <c r="K269" s="10"/>
      <c r="L269" s="28"/>
      <c r="M269" s="6"/>
      <c r="N269" s="2"/>
    </row>
    <row r="270" spans="1:14" x14ac:dyDescent="0.2">
      <c r="A270" s="29">
        <v>240050</v>
      </c>
      <c r="B270" s="2"/>
      <c r="C270" s="10"/>
      <c r="D270" s="2"/>
      <c r="E270" s="2"/>
      <c r="F270" s="27"/>
      <c r="G270" s="28"/>
      <c r="H270" s="6"/>
      <c r="I270" s="10"/>
      <c r="J270" s="2"/>
      <c r="K270" s="10"/>
      <c r="L270" s="28"/>
      <c r="M270" s="6"/>
      <c r="N270" s="2"/>
    </row>
    <row r="271" spans="1:14" x14ac:dyDescent="0.2">
      <c r="A271" s="29">
        <v>250000</v>
      </c>
      <c r="B271" s="2"/>
      <c r="C271" s="10"/>
      <c r="D271" s="2"/>
      <c r="E271" s="2"/>
      <c r="F271" s="27"/>
      <c r="G271" s="28"/>
      <c r="H271" s="6"/>
      <c r="I271" s="10"/>
      <c r="J271" s="2"/>
      <c r="K271" s="10"/>
      <c r="L271" s="28"/>
      <c r="M271" s="6"/>
      <c r="N271" s="2"/>
    </row>
    <row r="272" spans="1:14" x14ac:dyDescent="0.2">
      <c r="A272" s="29">
        <v>250010</v>
      </c>
      <c r="B272" s="2"/>
      <c r="C272" s="10"/>
      <c r="D272" s="2"/>
      <c r="E272" s="2"/>
      <c r="F272" s="27"/>
      <c r="G272" s="28"/>
      <c r="H272" s="6"/>
      <c r="I272" s="10"/>
      <c r="J272" s="2"/>
      <c r="K272" s="10"/>
      <c r="L272" s="28"/>
      <c r="M272" s="6"/>
      <c r="N272" s="2"/>
    </row>
    <row r="273" spans="1:14" x14ac:dyDescent="0.2">
      <c r="A273" s="29">
        <v>250020</v>
      </c>
      <c r="B273" s="2"/>
      <c r="C273" s="10"/>
      <c r="D273" s="2"/>
      <c r="E273" s="2"/>
      <c r="F273" s="27"/>
      <c r="G273" s="28"/>
      <c r="H273" s="6"/>
      <c r="I273" s="10"/>
      <c r="J273" s="2"/>
      <c r="K273" s="10"/>
      <c r="L273" s="28"/>
      <c r="M273" s="6"/>
      <c r="N273" s="2"/>
    </row>
    <row r="274" spans="1:14" x14ac:dyDescent="0.2">
      <c r="A274" s="29">
        <v>250030</v>
      </c>
      <c r="B274" s="2"/>
      <c r="C274" s="10"/>
      <c r="D274" s="2"/>
      <c r="E274" s="2"/>
      <c r="F274" s="27"/>
      <c r="G274" s="28"/>
      <c r="H274" s="6"/>
      <c r="I274" s="10"/>
      <c r="J274" s="2"/>
      <c r="K274" s="10"/>
      <c r="L274" s="28"/>
      <c r="M274" s="6"/>
      <c r="N274" s="2"/>
    </row>
    <row r="275" spans="1:14" x14ac:dyDescent="0.2">
      <c r="A275" s="29">
        <v>250040</v>
      </c>
      <c r="B275" s="2"/>
      <c r="C275" s="10"/>
      <c r="D275" s="2"/>
      <c r="E275" s="2"/>
      <c r="F275" s="27"/>
      <c r="G275" s="28"/>
      <c r="H275" s="6"/>
      <c r="I275" s="10"/>
      <c r="J275" s="2"/>
      <c r="K275" s="10"/>
      <c r="L275" s="28"/>
      <c r="M275" s="6"/>
      <c r="N275" s="2"/>
    </row>
    <row r="276" spans="1:14" x14ac:dyDescent="0.2">
      <c r="A276" s="29">
        <v>250050</v>
      </c>
      <c r="B276" s="2"/>
      <c r="C276" s="10"/>
      <c r="D276" s="2"/>
      <c r="E276" s="2"/>
      <c r="F276" s="27"/>
      <c r="G276" s="28"/>
      <c r="H276" s="6"/>
      <c r="I276" s="10"/>
      <c r="J276" s="2"/>
      <c r="K276" s="10"/>
      <c r="L276" s="28"/>
      <c r="M276" s="6"/>
      <c r="N276" s="2"/>
    </row>
    <row r="277" spans="1:14" x14ac:dyDescent="0.2">
      <c r="A277" s="29">
        <v>260000</v>
      </c>
      <c r="B277" s="2"/>
      <c r="C277" s="10"/>
      <c r="D277" s="2"/>
      <c r="E277" s="2"/>
      <c r="F277" s="27"/>
      <c r="G277" s="28"/>
      <c r="H277" s="6"/>
      <c r="I277" s="10"/>
      <c r="J277" s="2"/>
      <c r="K277" s="10"/>
      <c r="L277" s="28"/>
      <c r="M277" s="6"/>
      <c r="N277" s="2"/>
    </row>
    <row r="278" spans="1:14" x14ac:dyDescent="0.2">
      <c r="A278" s="29">
        <v>260010</v>
      </c>
      <c r="B278" s="2"/>
      <c r="C278" s="10"/>
      <c r="D278" s="2"/>
      <c r="E278" s="2"/>
      <c r="F278" s="27"/>
      <c r="G278" s="28"/>
      <c r="H278" s="6"/>
      <c r="I278" s="10"/>
      <c r="J278" s="2"/>
      <c r="K278" s="10"/>
      <c r="L278" s="28"/>
      <c r="M278" s="6"/>
      <c r="N278" s="2"/>
    </row>
    <row r="279" spans="1:14" x14ac:dyDescent="0.2">
      <c r="A279" s="29">
        <v>260020</v>
      </c>
      <c r="B279" s="2"/>
      <c r="C279" s="10"/>
      <c r="D279" s="2"/>
      <c r="E279" s="2"/>
      <c r="F279" s="27"/>
      <c r="G279" s="28"/>
      <c r="H279" s="6"/>
      <c r="I279" s="10"/>
      <c r="J279" s="2"/>
      <c r="K279" s="10"/>
      <c r="L279" s="28"/>
      <c r="M279" s="6"/>
      <c r="N279" s="2"/>
    </row>
    <row r="280" spans="1:14" x14ac:dyDescent="0.2">
      <c r="A280" s="29">
        <v>260030</v>
      </c>
      <c r="B280" s="2"/>
      <c r="C280" s="10"/>
      <c r="D280" s="2"/>
      <c r="E280" s="2"/>
      <c r="F280" s="27"/>
      <c r="G280" s="28"/>
      <c r="H280" s="6"/>
      <c r="I280" s="10"/>
      <c r="J280" s="2"/>
      <c r="K280" s="10"/>
      <c r="L280" s="28"/>
      <c r="M280" s="6"/>
      <c r="N280" s="2"/>
    </row>
    <row r="281" spans="1:14" x14ac:dyDescent="0.2">
      <c r="A281" s="29">
        <v>260040</v>
      </c>
      <c r="B281" s="2"/>
      <c r="C281" s="10"/>
      <c r="D281" s="2"/>
      <c r="E281" s="2"/>
      <c r="F281" s="27"/>
      <c r="G281" s="28"/>
      <c r="H281" s="6"/>
      <c r="I281" s="10"/>
      <c r="J281" s="2"/>
      <c r="K281" s="10"/>
      <c r="L281" s="28"/>
      <c r="M281" s="6"/>
      <c r="N281" s="2"/>
    </row>
    <row r="282" spans="1:14" x14ac:dyDescent="0.2">
      <c r="A282" s="29">
        <v>260050</v>
      </c>
      <c r="B282" s="2"/>
      <c r="C282" s="10"/>
      <c r="D282" s="2"/>
      <c r="E282" s="2"/>
      <c r="F282" s="27"/>
      <c r="G282" s="28"/>
      <c r="H282" s="6"/>
      <c r="I282" s="10"/>
      <c r="J282" s="2"/>
      <c r="K282" s="10"/>
      <c r="L282" s="28"/>
      <c r="M282" s="6"/>
      <c r="N282" s="2"/>
    </row>
    <row r="283" spans="1:14" x14ac:dyDescent="0.2">
      <c r="A283" s="29">
        <v>270000</v>
      </c>
      <c r="B283" s="2"/>
      <c r="C283" s="10"/>
      <c r="D283" s="2"/>
      <c r="E283" s="2"/>
      <c r="F283" s="27"/>
      <c r="G283" s="28"/>
      <c r="H283" s="6"/>
      <c r="I283" s="10"/>
      <c r="J283" s="2"/>
      <c r="K283" s="10"/>
      <c r="L283" s="28"/>
      <c r="M283" s="6"/>
      <c r="N283" s="2"/>
    </row>
    <row r="284" spans="1:14" x14ac:dyDescent="0.2">
      <c r="A284" s="29">
        <v>270010</v>
      </c>
      <c r="B284" s="2"/>
      <c r="C284" s="10"/>
      <c r="D284" s="2"/>
      <c r="E284" s="2"/>
      <c r="F284" s="27"/>
      <c r="G284" s="28"/>
      <c r="H284" s="6"/>
      <c r="I284" s="10"/>
      <c r="J284" s="2"/>
      <c r="K284" s="10"/>
      <c r="L284" s="28"/>
      <c r="M284" s="6"/>
      <c r="N284" s="2"/>
    </row>
    <row r="285" spans="1:14" x14ac:dyDescent="0.2">
      <c r="A285" s="29">
        <v>270020</v>
      </c>
      <c r="B285" s="2"/>
      <c r="C285" s="10"/>
      <c r="D285" s="2"/>
      <c r="E285" s="2"/>
      <c r="F285" s="27"/>
      <c r="G285" s="28"/>
      <c r="H285" s="6"/>
      <c r="I285" s="10"/>
      <c r="J285" s="2"/>
      <c r="K285" s="10"/>
      <c r="L285" s="28"/>
      <c r="M285" s="6"/>
      <c r="N285" s="2"/>
    </row>
    <row r="286" spans="1:14" x14ac:dyDescent="0.2">
      <c r="A286" s="29">
        <v>270030</v>
      </c>
      <c r="B286" s="2"/>
      <c r="C286" s="10"/>
      <c r="D286" s="2"/>
      <c r="E286" s="2"/>
      <c r="F286" s="27"/>
      <c r="G286" s="28"/>
      <c r="H286" s="6"/>
      <c r="I286" s="10"/>
      <c r="J286" s="2"/>
      <c r="K286" s="10"/>
      <c r="L286" s="28"/>
      <c r="M286" s="6"/>
      <c r="N286" s="2"/>
    </row>
    <row r="287" spans="1:14" x14ac:dyDescent="0.2">
      <c r="A287" s="29">
        <v>270040</v>
      </c>
      <c r="B287" s="2"/>
      <c r="C287" s="10"/>
      <c r="D287" s="2"/>
      <c r="E287" s="2"/>
      <c r="F287" s="27"/>
      <c r="G287" s="28"/>
      <c r="H287" s="6"/>
      <c r="I287" s="10"/>
      <c r="J287" s="2"/>
      <c r="K287" s="10"/>
      <c r="L287" s="28"/>
      <c r="M287" s="6"/>
      <c r="N287" s="2"/>
    </row>
    <row r="288" spans="1:14" x14ac:dyDescent="0.2">
      <c r="A288" s="29">
        <v>270050</v>
      </c>
      <c r="B288" s="2"/>
      <c r="C288" s="10"/>
      <c r="D288" s="2"/>
      <c r="E288" s="2"/>
      <c r="F288" s="27"/>
      <c r="G288" s="28"/>
      <c r="H288" s="6"/>
      <c r="I288" s="10"/>
      <c r="J288" s="2"/>
      <c r="K288" s="10"/>
      <c r="L288" s="28"/>
      <c r="M288" s="6"/>
      <c r="N288" s="2"/>
    </row>
    <row r="289" spans="1:14" x14ac:dyDescent="0.2">
      <c r="A289" s="29">
        <v>280000</v>
      </c>
      <c r="B289" s="2"/>
      <c r="C289" s="10"/>
      <c r="D289" s="2"/>
      <c r="E289" s="2"/>
      <c r="F289" s="27"/>
      <c r="G289" s="28"/>
      <c r="H289" s="6"/>
      <c r="I289" s="10"/>
      <c r="J289" s="2"/>
      <c r="K289" s="10"/>
      <c r="L289" s="28"/>
      <c r="M289" s="6"/>
      <c r="N289" s="2"/>
    </row>
    <row r="290" spans="1:14" x14ac:dyDescent="0.2">
      <c r="A290" s="29">
        <v>280010</v>
      </c>
      <c r="B290" s="2"/>
      <c r="C290" s="10"/>
      <c r="D290" s="2"/>
      <c r="E290" s="2"/>
      <c r="F290" s="27"/>
      <c r="G290" s="28"/>
      <c r="H290" s="6"/>
      <c r="I290" s="10"/>
      <c r="J290" s="2"/>
      <c r="K290" s="10"/>
      <c r="L290" s="28"/>
      <c r="M290" s="6"/>
      <c r="N290" s="2"/>
    </row>
    <row r="291" spans="1:14" x14ac:dyDescent="0.2">
      <c r="A291" s="29">
        <v>280020</v>
      </c>
      <c r="B291" s="2"/>
      <c r="C291" s="10"/>
      <c r="D291" s="2"/>
      <c r="E291" s="2"/>
      <c r="F291" s="27"/>
      <c r="G291" s="28"/>
      <c r="H291" s="6"/>
      <c r="I291" s="10"/>
      <c r="J291" s="2"/>
      <c r="K291" s="10"/>
      <c r="L291" s="28"/>
      <c r="M291" s="6"/>
      <c r="N291" s="2"/>
    </row>
    <row r="292" spans="1:14" x14ac:dyDescent="0.2">
      <c r="A292" s="29">
        <v>280030</v>
      </c>
      <c r="B292" s="2"/>
      <c r="C292" s="10"/>
      <c r="D292" s="2"/>
      <c r="E292" s="2"/>
      <c r="F292" s="27"/>
      <c r="G292" s="28"/>
      <c r="H292" s="6"/>
      <c r="I292" s="10"/>
      <c r="J292" s="2"/>
      <c r="K292" s="10"/>
      <c r="L292" s="28"/>
      <c r="M292" s="6"/>
      <c r="N292" s="2"/>
    </row>
    <row r="293" spans="1:14" x14ac:dyDescent="0.2">
      <c r="A293" s="29">
        <v>280040</v>
      </c>
      <c r="B293" s="2"/>
      <c r="C293" s="10"/>
      <c r="D293" s="2"/>
      <c r="E293" s="2"/>
      <c r="F293" s="27"/>
      <c r="G293" s="28"/>
      <c r="H293" s="6"/>
      <c r="I293" s="10"/>
      <c r="J293" s="2"/>
      <c r="K293" s="10"/>
      <c r="L293" s="28"/>
      <c r="M293" s="6"/>
      <c r="N293" s="2"/>
    </row>
    <row r="294" spans="1:14" x14ac:dyDescent="0.2">
      <c r="A294" s="29">
        <v>280050</v>
      </c>
      <c r="B294" s="2"/>
      <c r="C294" s="10"/>
      <c r="D294" s="2"/>
      <c r="E294" s="2"/>
      <c r="F294" s="27"/>
      <c r="G294" s="28"/>
      <c r="H294" s="6"/>
      <c r="I294" s="10"/>
      <c r="J294" s="2"/>
      <c r="K294" s="10"/>
      <c r="L294" s="28"/>
      <c r="M294" s="6"/>
      <c r="N294" s="2"/>
    </row>
    <row r="295" spans="1:14" x14ac:dyDescent="0.2">
      <c r="A295" s="29">
        <v>290000</v>
      </c>
      <c r="B295" s="2"/>
      <c r="C295" s="10"/>
      <c r="D295" s="2"/>
      <c r="E295" s="2"/>
      <c r="F295" s="27"/>
      <c r="G295" s="28"/>
      <c r="H295" s="6"/>
      <c r="I295" s="10"/>
      <c r="J295" s="2"/>
      <c r="K295" s="10"/>
      <c r="L295" s="28"/>
      <c r="M295" s="6"/>
      <c r="N295" s="2"/>
    </row>
    <row r="296" spans="1:14" x14ac:dyDescent="0.2">
      <c r="A296" s="29">
        <v>290010</v>
      </c>
      <c r="B296" s="2"/>
      <c r="C296" s="10"/>
      <c r="D296" s="2"/>
      <c r="E296" s="2"/>
      <c r="F296" s="27"/>
      <c r="G296" s="28"/>
      <c r="H296" s="6"/>
      <c r="I296" s="10"/>
      <c r="J296" s="2"/>
      <c r="K296" s="10"/>
      <c r="L296" s="28"/>
      <c r="M296" s="6"/>
      <c r="N296" s="2"/>
    </row>
    <row r="297" spans="1:14" x14ac:dyDescent="0.2">
      <c r="A297" s="29">
        <v>290020</v>
      </c>
      <c r="B297" s="2"/>
      <c r="C297" s="10"/>
      <c r="D297" s="2"/>
      <c r="E297" s="2"/>
      <c r="F297" s="27"/>
      <c r="G297" s="28"/>
      <c r="H297" s="6"/>
      <c r="I297" s="10"/>
      <c r="J297" s="2"/>
      <c r="K297" s="10"/>
      <c r="L297" s="28"/>
      <c r="M297" s="6"/>
      <c r="N297" s="2"/>
    </row>
    <row r="298" spans="1:14" x14ac:dyDescent="0.2">
      <c r="A298" s="29">
        <v>290030</v>
      </c>
      <c r="B298" s="2"/>
      <c r="C298" s="10"/>
      <c r="D298" s="2"/>
      <c r="E298" s="2"/>
      <c r="F298" s="27"/>
      <c r="G298" s="28"/>
      <c r="H298" s="6"/>
      <c r="I298" s="10"/>
      <c r="J298" s="2"/>
      <c r="K298" s="10"/>
      <c r="L298" s="28"/>
      <c r="M298" s="6"/>
      <c r="N298" s="2"/>
    </row>
    <row r="299" spans="1:14" x14ac:dyDescent="0.2">
      <c r="A299" s="29">
        <v>290040</v>
      </c>
      <c r="B299" s="2"/>
      <c r="C299" s="10"/>
      <c r="D299" s="2"/>
      <c r="E299" s="2"/>
      <c r="F299" s="27"/>
      <c r="G299" s="28"/>
      <c r="H299" s="6"/>
      <c r="I299" s="10"/>
      <c r="J299" s="2"/>
      <c r="K299" s="10"/>
      <c r="L299" s="28"/>
      <c r="M299" s="6"/>
      <c r="N299" s="2"/>
    </row>
    <row r="300" spans="1:14" x14ac:dyDescent="0.2">
      <c r="A300" s="29">
        <v>290050</v>
      </c>
      <c r="B300" s="2"/>
      <c r="C300" s="10"/>
      <c r="D300" s="2"/>
      <c r="E300" s="2"/>
      <c r="F300" s="27"/>
      <c r="G300" s="28"/>
      <c r="H300" s="6"/>
      <c r="I300" s="10"/>
      <c r="J300" s="2"/>
      <c r="K300" s="10"/>
      <c r="L300" s="28"/>
      <c r="M300" s="6"/>
      <c r="N300" s="2"/>
    </row>
    <row r="301" spans="1:14" x14ac:dyDescent="0.2">
      <c r="A301" s="29">
        <v>300000</v>
      </c>
      <c r="B301" s="2"/>
      <c r="C301" s="10"/>
      <c r="D301" s="2"/>
      <c r="E301" s="2"/>
      <c r="F301" s="27"/>
      <c r="G301" s="28"/>
      <c r="H301" s="6"/>
      <c r="I301" s="10"/>
      <c r="J301" s="2"/>
      <c r="K301" s="10"/>
      <c r="L301" s="28"/>
      <c r="M301" s="6"/>
      <c r="N301" s="2"/>
    </row>
    <row r="302" spans="1:14" x14ac:dyDescent="0.2">
      <c r="A302" s="29">
        <v>300010</v>
      </c>
      <c r="B302" s="2"/>
      <c r="C302" s="10"/>
      <c r="D302" s="2"/>
      <c r="E302" s="2"/>
      <c r="F302" s="27"/>
      <c r="G302" s="28"/>
      <c r="H302" s="6"/>
      <c r="I302" s="10"/>
      <c r="J302" s="2"/>
      <c r="K302" s="10"/>
      <c r="L302" s="28"/>
      <c r="M302" s="6"/>
      <c r="N302" s="2"/>
    </row>
    <row r="303" spans="1:14" x14ac:dyDescent="0.2">
      <c r="A303" s="29">
        <v>300020</v>
      </c>
      <c r="B303" s="2"/>
      <c r="C303" s="10"/>
      <c r="D303" s="2"/>
      <c r="E303" s="2"/>
      <c r="F303" s="27"/>
      <c r="G303" s="28"/>
      <c r="H303" s="6"/>
      <c r="I303" s="10"/>
      <c r="J303" s="2"/>
      <c r="K303" s="10"/>
      <c r="L303" s="28"/>
      <c r="M303" s="6"/>
      <c r="N303" s="2"/>
    </row>
    <row r="304" spans="1:14" x14ac:dyDescent="0.2">
      <c r="A304" s="29">
        <v>300030</v>
      </c>
      <c r="B304" s="2"/>
      <c r="C304" s="10"/>
      <c r="D304" s="2"/>
      <c r="E304" s="2"/>
      <c r="F304" s="27"/>
      <c r="G304" s="28"/>
      <c r="H304" s="6"/>
      <c r="I304" s="10"/>
      <c r="J304" s="2"/>
      <c r="K304" s="10"/>
      <c r="L304" s="28"/>
      <c r="M304" s="6"/>
      <c r="N304" s="2"/>
    </row>
    <row r="305" spans="1:14" x14ac:dyDescent="0.2">
      <c r="A305" s="29">
        <v>300040</v>
      </c>
      <c r="B305" s="2"/>
      <c r="C305" s="10"/>
      <c r="D305" s="2"/>
      <c r="E305" s="2"/>
      <c r="F305" s="27"/>
      <c r="G305" s="28"/>
      <c r="H305" s="6"/>
      <c r="I305" s="10"/>
      <c r="J305" s="2"/>
      <c r="K305" s="10"/>
      <c r="L305" s="28"/>
      <c r="M305" s="6"/>
      <c r="N305" s="2"/>
    </row>
    <row r="306" spans="1:14" x14ac:dyDescent="0.2">
      <c r="A306" s="29">
        <v>300050</v>
      </c>
      <c r="B306" s="2"/>
      <c r="C306" s="10"/>
      <c r="D306" s="2"/>
      <c r="E306" s="2"/>
      <c r="F306" s="27"/>
      <c r="G306" s="28"/>
      <c r="H306" s="6"/>
      <c r="I306" s="10"/>
      <c r="J306" s="2"/>
      <c r="K306" s="10"/>
      <c r="L306" s="28"/>
      <c r="M306" s="6"/>
      <c r="N306" s="2"/>
    </row>
    <row r="307" spans="1:14" x14ac:dyDescent="0.2">
      <c r="A307" s="29">
        <v>310000</v>
      </c>
      <c r="B307" s="2"/>
      <c r="C307" s="10"/>
      <c r="D307" s="2"/>
      <c r="E307" s="2"/>
      <c r="F307" s="27"/>
      <c r="G307" s="28"/>
      <c r="H307" s="6"/>
      <c r="I307" s="10"/>
      <c r="J307" s="2"/>
      <c r="K307" s="10"/>
      <c r="L307" s="28"/>
      <c r="M307" s="6"/>
      <c r="N307" s="2"/>
    </row>
    <row r="308" spans="1:14" x14ac:dyDescent="0.2">
      <c r="A308" s="29">
        <v>310010</v>
      </c>
      <c r="B308" s="2"/>
      <c r="C308" s="10"/>
      <c r="D308" s="2"/>
      <c r="E308" s="2"/>
      <c r="F308" s="27"/>
      <c r="G308" s="28"/>
      <c r="H308" s="6"/>
      <c r="I308" s="10"/>
      <c r="J308" s="2"/>
      <c r="K308" s="10"/>
      <c r="L308" s="28"/>
      <c r="M308" s="6"/>
      <c r="N308" s="2"/>
    </row>
    <row r="309" spans="1:14" x14ac:dyDescent="0.2">
      <c r="A309" s="29">
        <v>310020</v>
      </c>
      <c r="B309" s="2"/>
      <c r="C309" s="10"/>
      <c r="D309" s="2"/>
      <c r="E309" s="2"/>
      <c r="F309" s="27"/>
      <c r="G309" s="28"/>
      <c r="H309" s="6"/>
      <c r="I309" s="10"/>
      <c r="J309" s="2"/>
      <c r="K309" s="10"/>
      <c r="L309" s="28"/>
      <c r="M309" s="6"/>
      <c r="N309" s="2"/>
    </row>
    <row r="310" spans="1:14" x14ac:dyDescent="0.2">
      <c r="A310" s="29">
        <v>310030</v>
      </c>
      <c r="B310" s="2"/>
      <c r="C310" s="10"/>
      <c r="D310" s="2"/>
      <c r="E310" s="2"/>
      <c r="F310" s="27"/>
      <c r="G310" s="28"/>
      <c r="H310" s="6"/>
      <c r="I310" s="10"/>
      <c r="J310" s="2"/>
      <c r="K310" s="10"/>
      <c r="L310" s="28"/>
      <c r="M310" s="6"/>
      <c r="N310" s="2"/>
    </row>
    <row r="311" spans="1:14" x14ac:dyDescent="0.2">
      <c r="A311" s="29">
        <v>310040</v>
      </c>
      <c r="B311" s="2"/>
      <c r="C311" s="10"/>
      <c r="D311" s="2"/>
      <c r="E311" s="2"/>
      <c r="F311" s="27"/>
      <c r="G311" s="28"/>
      <c r="H311" s="6"/>
      <c r="I311" s="10"/>
      <c r="J311" s="2"/>
      <c r="K311" s="10"/>
      <c r="L311" s="28"/>
      <c r="M311" s="6"/>
      <c r="N311" s="2"/>
    </row>
    <row r="312" spans="1:14" x14ac:dyDescent="0.2">
      <c r="A312" s="29">
        <v>310050</v>
      </c>
      <c r="B312" s="2"/>
      <c r="C312" s="10"/>
      <c r="D312" s="2"/>
      <c r="E312" s="2"/>
      <c r="F312" s="27"/>
      <c r="G312" s="28"/>
      <c r="H312" s="6"/>
      <c r="I312" s="10"/>
      <c r="J312" s="2"/>
      <c r="K312" s="10"/>
      <c r="L312" s="28"/>
      <c r="M312" s="6"/>
      <c r="N312" s="2"/>
    </row>
    <row r="313" spans="1:14" x14ac:dyDescent="0.2">
      <c r="A313" s="29">
        <v>320000</v>
      </c>
      <c r="B313" s="2"/>
      <c r="C313" s="10"/>
      <c r="D313" s="2"/>
      <c r="E313" s="2"/>
      <c r="F313" s="27"/>
      <c r="G313" s="28"/>
      <c r="H313" s="6"/>
      <c r="I313" s="10"/>
      <c r="J313" s="2"/>
      <c r="K313" s="10"/>
      <c r="L313" s="28"/>
      <c r="M313" s="6"/>
      <c r="N313" s="2"/>
    </row>
    <row r="314" spans="1:14" x14ac:dyDescent="0.2">
      <c r="A314" s="29">
        <v>320010</v>
      </c>
      <c r="B314" s="2"/>
      <c r="C314" s="10"/>
      <c r="D314" s="2"/>
      <c r="E314" s="2"/>
      <c r="F314" s="27"/>
      <c r="G314" s="28"/>
      <c r="H314" s="6"/>
      <c r="I314" s="10"/>
      <c r="J314" s="2"/>
      <c r="K314" s="10"/>
      <c r="L314" s="28"/>
      <c r="M314" s="6"/>
      <c r="N314" s="2"/>
    </row>
    <row r="315" spans="1:14" x14ac:dyDescent="0.2">
      <c r="A315" s="29">
        <v>320020</v>
      </c>
      <c r="B315" s="2"/>
      <c r="C315" s="10"/>
      <c r="D315" s="2"/>
      <c r="E315" s="2"/>
      <c r="F315" s="27"/>
      <c r="G315" s="28"/>
      <c r="H315" s="6"/>
      <c r="I315" s="10"/>
      <c r="J315" s="2"/>
      <c r="K315" s="10"/>
      <c r="L315" s="28"/>
      <c r="M315" s="6"/>
      <c r="N315" s="2"/>
    </row>
    <row r="316" spans="1:14" x14ac:dyDescent="0.2">
      <c r="A316" s="29">
        <v>320030</v>
      </c>
      <c r="B316" s="2"/>
      <c r="C316" s="10"/>
      <c r="D316" s="2"/>
      <c r="E316" s="2"/>
      <c r="F316" s="27"/>
      <c r="G316" s="28"/>
      <c r="H316" s="6"/>
      <c r="I316" s="10"/>
      <c r="J316" s="2"/>
      <c r="K316" s="10"/>
      <c r="L316" s="28"/>
      <c r="M316" s="6"/>
      <c r="N316" s="2"/>
    </row>
    <row r="317" spans="1:14" x14ac:dyDescent="0.2">
      <c r="A317" s="29">
        <v>320040</v>
      </c>
      <c r="B317" s="2"/>
      <c r="C317" s="10"/>
      <c r="D317" s="2"/>
      <c r="E317" s="2"/>
      <c r="F317" s="27"/>
      <c r="G317" s="28"/>
      <c r="H317" s="6"/>
      <c r="I317" s="10"/>
      <c r="J317" s="2"/>
      <c r="K317" s="10"/>
      <c r="L317" s="28"/>
      <c r="M317" s="6"/>
      <c r="N317" s="2"/>
    </row>
    <row r="318" spans="1:14" x14ac:dyDescent="0.2">
      <c r="A318" s="29">
        <v>320050</v>
      </c>
      <c r="B318" s="2"/>
      <c r="C318" s="10"/>
      <c r="D318" s="2"/>
      <c r="E318" s="2"/>
      <c r="F318" s="27"/>
      <c r="G318" s="28"/>
      <c r="H318" s="6"/>
      <c r="I318" s="10"/>
      <c r="J318" s="2"/>
      <c r="K318" s="10"/>
      <c r="L318" s="28"/>
      <c r="M318" s="6"/>
      <c r="N318" s="2"/>
    </row>
    <row r="319" spans="1:14" x14ac:dyDescent="0.2">
      <c r="A319" s="29">
        <v>330000</v>
      </c>
      <c r="B319" s="2"/>
      <c r="C319" s="10"/>
      <c r="D319" s="2"/>
      <c r="E319" s="2"/>
      <c r="F319" s="27"/>
      <c r="G319" s="28"/>
      <c r="H319" s="6"/>
      <c r="I319" s="10"/>
      <c r="J319" s="2"/>
      <c r="K319" s="10"/>
      <c r="L319" s="28"/>
      <c r="M319" s="6"/>
      <c r="N319" s="2"/>
    </row>
    <row r="320" spans="1:14" x14ac:dyDescent="0.2">
      <c r="A320" s="29">
        <v>330010</v>
      </c>
      <c r="B320" s="2"/>
      <c r="C320" s="10"/>
      <c r="D320" s="2"/>
      <c r="E320" s="2"/>
      <c r="F320" s="27"/>
      <c r="G320" s="28"/>
      <c r="H320" s="6"/>
      <c r="I320" s="10"/>
      <c r="J320" s="2"/>
      <c r="K320" s="10"/>
      <c r="L320" s="28"/>
      <c r="M320" s="6"/>
      <c r="N320" s="2"/>
    </row>
    <row r="321" spans="1:14" x14ac:dyDescent="0.2">
      <c r="A321" s="29">
        <v>330020</v>
      </c>
      <c r="B321" s="2"/>
      <c r="C321" s="10"/>
      <c r="D321" s="2"/>
      <c r="E321" s="2"/>
      <c r="F321" s="27"/>
      <c r="G321" s="28"/>
      <c r="H321" s="6"/>
      <c r="I321" s="10"/>
      <c r="J321" s="2"/>
      <c r="K321" s="10"/>
      <c r="L321" s="28"/>
      <c r="M321" s="6"/>
      <c r="N321" s="2"/>
    </row>
    <row r="322" spans="1:14" x14ac:dyDescent="0.2">
      <c r="A322" s="29">
        <v>330030</v>
      </c>
      <c r="B322" s="2"/>
      <c r="C322" s="10"/>
      <c r="D322" s="2"/>
      <c r="E322" s="2"/>
      <c r="F322" s="27"/>
      <c r="G322" s="28"/>
      <c r="H322" s="6"/>
      <c r="I322" s="10"/>
      <c r="J322" s="2"/>
      <c r="K322" s="10"/>
      <c r="L322" s="28"/>
      <c r="M322" s="6"/>
      <c r="N322" s="2"/>
    </row>
    <row r="323" spans="1:14" x14ac:dyDescent="0.2">
      <c r="A323" s="29">
        <v>330040</v>
      </c>
      <c r="B323" s="2"/>
      <c r="C323" s="10"/>
      <c r="D323" s="2"/>
      <c r="E323" s="2"/>
      <c r="F323" s="27"/>
      <c r="G323" s="28"/>
      <c r="H323" s="6"/>
      <c r="I323" s="10"/>
      <c r="J323" s="2"/>
      <c r="K323" s="10"/>
      <c r="L323" s="28"/>
      <c r="M323" s="6"/>
      <c r="N323" s="2"/>
    </row>
    <row r="324" spans="1:14" x14ac:dyDescent="0.2">
      <c r="A324" s="29">
        <v>330050</v>
      </c>
      <c r="B324" s="2"/>
      <c r="C324" s="10"/>
      <c r="D324" s="2"/>
      <c r="E324" s="2"/>
      <c r="F324" s="27"/>
      <c r="G324" s="28"/>
      <c r="H324" s="6"/>
      <c r="I324" s="10"/>
      <c r="J324" s="2"/>
      <c r="K324" s="10"/>
      <c r="L324" s="28"/>
      <c r="M324" s="6"/>
      <c r="N324" s="2"/>
    </row>
    <row r="325" spans="1:14" x14ac:dyDescent="0.2">
      <c r="A325" s="29">
        <v>340000</v>
      </c>
      <c r="B325" s="2"/>
      <c r="C325" s="10"/>
      <c r="D325" s="2"/>
      <c r="E325" s="2"/>
      <c r="F325" s="27"/>
      <c r="G325" s="28"/>
      <c r="H325" s="6"/>
      <c r="I325" s="10"/>
      <c r="J325" s="2"/>
      <c r="K325" s="10"/>
      <c r="L325" s="28"/>
      <c r="M325" s="6"/>
      <c r="N325" s="2"/>
    </row>
    <row r="326" spans="1:14" x14ac:dyDescent="0.2">
      <c r="A326" s="29">
        <v>340010</v>
      </c>
      <c r="B326" s="2"/>
      <c r="C326" s="10"/>
      <c r="D326" s="2"/>
      <c r="E326" s="2"/>
      <c r="F326" s="27"/>
      <c r="G326" s="28"/>
      <c r="H326" s="6"/>
      <c r="I326" s="10"/>
      <c r="J326" s="2"/>
      <c r="K326" s="10"/>
      <c r="L326" s="28"/>
      <c r="M326" s="6"/>
      <c r="N326" s="2"/>
    </row>
    <row r="327" spans="1:14" x14ac:dyDescent="0.2">
      <c r="A327" s="29">
        <v>340020</v>
      </c>
      <c r="B327" s="2"/>
      <c r="C327" s="10"/>
      <c r="D327" s="2"/>
      <c r="E327" s="2"/>
      <c r="F327" s="27"/>
      <c r="G327" s="28"/>
      <c r="H327" s="6"/>
      <c r="I327" s="10"/>
      <c r="J327" s="2"/>
      <c r="K327" s="10"/>
      <c r="L327" s="28"/>
      <c r="M327" s="6"/>
      <c r="N327" s="2"/>
    </row>
    <row r="328" spans="1:14" x14ac:dyDescent="0.2">
      <c r="A328" s="29">
        <v>340030</v>
      </c>
      <c r="B328" s="2"/>
      <c r="C328" s="10"/>
      <c r="D328" s="2"/>
      <c r="E328" s="2"/>
      <c r="F328" s="27"/>
      <c r="G328" s="28"/>
      <c r="H328" s="6"/>
      <c r="I328" s="10"/>
      <c r="J328" s="2"/>
      <c r="K328" s="10"/>
      <c r="L328" s="28"/>
      <c r="M328" s="6"/>
      <c r="N328" s="2"/>
    </row>
    <row r="329" spans="1:14" x14ac:dyDescent="0.2">
      <c r="A329" s="29">
        <v>340040</v>
      </c>
      <c r="B329" s="2"/>
      <c r="C329" s="10"/>
      <c r="D329" s="2"/>
      <c r="E329" s="2"/>
      <c r="F329" s="27"/>
      <c r="G329" s="28"/>
      <c r="H329" s="6"/>
      <c r="I329" s="10"/>
      <c r="J329" s="2"/>
      <c r="K329" s="10"/>
      <c r="L329" s="28"/>
      <c r="M329" s="6"/>
      <c r="N329" s="2"/>
    </row>
    <row r="330" spans="1:14" x14ac:dyDescent="0.2">
      <c r="A330" s="29">
        <v>340050</v>
      </c>
      <c r="B330" s="2"/>
      <c r="C330" s="10"/>
      <c r="D330" s="2"/>
      <c r="E330" s="2"/>
      <c r="F330" s="27"/>
      <c r="G330" s="28"/>
      <c r="H330" s="6"/>
      <c r="I330" s="10"/>
      <c r="J330" s="2"/>
      <c r="K330" s="10"/>
      <c r="L330" s="28"/>
      <c r="M330" s="6"/>
      <c r="N330" s="2"/>
    </row>
    <row r="331" spans="1:14" x14ac:dyDescent="0.2">
      <c r="A331" s="29">
        <v>350000</v>
      </c>
      <c r="B331" s="2"/>
      <c r="C331" s="10"/>
      <c r="D331" s="2"/>
      <c r="E331" s="2"/>
      <c r="F331" s="27"/>
      <c r="G331" s="28"/>
      <c r="H331" s="6"/>
      <c r="I331" s="10"/>
      <c r="J331" s="2"/>
      <c r="K331" s="10"/>
      <c r="L331" s="28"/>
      <c r="M331" s="6"/>
      <c r="N331" s="2"/>
    </row>
    <row r="332" spans="1:14" x14ac:dyDescent="0.2">
      <c r="A332" s="29">
        <v>350010</v>
      </c>
      <c r="B332" s="2"/>
      <c r="C332" s="10"/>
      <c r="D332" s="2"/>
      <c r="E332" s="2"/>
      <c r="F332" s="27"/>
      <c r="G332" s="28"/>
      <c r="H332" s="6"/>
      <c r="I332" s="10"/>
      <c r="J332" s="2"/>
      <c r="K332" s="10"/>
      <c r="L332" s="28"/>
      <c r="M332" s="6"/>
      <c r="N332" s="2"/>
    </row>
    <row r="333" spans="1:14" x14ac:dyDescent="0.2">
      <c r="A333" s="29">
        <v>350020</v>
      </c>
      <c r="B333" s="2"/>
      <c r="C333" s="10"/>
      <c r="D333" s="2"/>
      <c r="E333" s="2"/>
      <c r="F333" s="27"/>
      <c r="G333" s="28"/>
      <c r="H333" s="6"/>
      <c r="I333" s="10"/>
      <c r="J333" s="2"/>
      <c r="K333" s="10"/>
      <c r="L333" s="28"/>
      <c r="M333" s="6"/>
      <c r="N333" s="2"/>
    </row>
    <row r="334" spans="1:14" x14ac:dyDescent="0.2">
      <c r="A334" s="29">
        <v>350030</v>
      </c>
      <c r="B334" s="2"/>
      <c r="C334" s="10"/>
      <c r="D334" s="2"/>
      <c r="E334" s="2"/>
      <c r="F334" s="27"/>
      <c r="G334" s="28"/>
      <c r="H334" s="6"/>
      <c r="I334" s="10"/>
      <c r="J334" s="2"/>
      <c r="K334" s="10"/>
      <c r="L334" s="28"/>
      <c r="M334" s="6"/>
      <c r="N334" s="2"/>
    </row>
    <row r="335" spans="1:14" x14ac:dyDescent="0.2">
      <c r="A335" s="29">
        <v>350040</v>
      </c>
      <c r="B335" s="2"/>
      <c r="C335" s="10"/>
      <c r="D335" s="2"/>
      <c r="E335" s="2"/>
      <c r="F335" s="27"/>
      <c r="G335" s="28"/>
      <c r="H335" s="6"/>
      <c r="I335" s="10"/>
      <c r="J335" s="2"/>
      <c r="K335" s="10"/>
      <c r="L335" s="28"/>
      <c r="M335" s="6"/>
      <c r="N335" s="2"/>
    </row>
    <row r="336" spans="1:14" x14ac:dyDescent="0.2">
      <c r="A336" s="29">
        <v>350050</v>
      </c>
      <c r="B336" s="2"/>
      <c r="C336" s="10"/>
      <c r="D336" s="2"/>
      <c r="E336" s="2"/>
      <c r="F336" s="27"/>
      <c r="G336" s="28"/>
      <c r="H336" s="6"/>
      <c r="I336" s="10"/>
      <c r="J336" s="2"/>
      <c r="K336" s="10"/>
      <c r="L336" s="28"/>
      <c r="M336" s="6"/>
      <c r="N336" s="2"/>
    </row>
    <row r="337" spans="1:14" x14ac:dyDescent="0.2">
      <c r="A337" s="29"/>
      <c r="B337" s="2"/>
      <c r="C337" s="10"/>
      <c r="D337" s="2"/>
      <c r="E337" s="2"/>
      <c r="F337" s="27"/>
      <c r="G337" s="28"/>
      <c r="H337" s="6"/>
      <c r="I337" s="10"/>
      <c r="J337" s="2"/>
      <c r="K337" s="10"/>
      <c r="L337" s="28"/>
      <c r="M337" s="6"/>
      <c r="N337" s="2"/>
    </row>
    <row r="338" spans="1:14" x14ac:dyDescent="0.2">
      <c r="A338" s="29"/>
      <c r="B338" s="2"/>
      <c r="C338" s="10"/>
      <c r="D338" s="2"/>
      <c r="E338" s="2"/>
      <c r="F338" s="27"/>
      <c r="G338" s="28"/>
      <c r="H338" s="6"/>
      <c r="I338" s="10"/>
      <c r="J338" s="2"/>
      <c r="K338" s="10"/>
      <c r="L338" s="28"/>
      <c r="M338" s="6"/>
      <c r="N338" s="2"/>
    </row>
    <row r="339" spans="1:14" x14ac:dyDescent="0.2">
      <c r="A339" s="29"/>
      <c r="B339" s="2"/>
      <c r="C339" s="10"/>
      <c r="D339" s="2"/>
      <c r="E339" s="2"/>
      <c r="F339" s="2"/>
      <c r="G339" s="28"/>
      <c r="H339" s="6"/>
      <c r="I339" s="10"/>
      <c r="J339" s="2"/>
      <c r="K339" s="10"/>
      <c r="L339" s="28"/>
      <c r="M339" s="6"/>
      <c r="N339" s="2"/>
    </row>
    <row r="340" spans="1:14" x14ac:dyDescent="0.2">
      <c r="A340" s="29"/>
      <c r="B340" s="2"/>
      <c r="C340" s="10"/>
      <c r="D340" s="2"/>
      <c r="E340" s="2"/>
      <c r="F340" s="2"/>
      <c r="G340" s="28"/>
      <c r="H340" s="6"/>
      <c r="I340" s="10"/>
      <c r="J340" s="2"/>
      <c r="K340" s="10"/>
      <c r="L340" s="28"/>
      <c r="M340" s="6"/>
      <c r="N340" s="2"/>
    </row>
    <row r="341" spans="1:14" x14ac:dyDescent="0.2">
      <c r="A341" s="29"/>
      <c r="B341" s="2"/>
      <c r="C341" s="10"/>
      <c r="D341" s="2"/>
      <c r="E341" s="2"/>
      <c r="F341" s="2"/>
      <c r="G341" s="10"/>
      <c r="H341" s="6"/>
      <c r="I341" s="10"/>
      <c r="J341" s="2"/>
      <c r="K341" s="10"/>
      <c r="L341" s="10"/>
      <c r="M341" s="6"/>
      <c r="N341" s="2"/>
    </row>
    <row r="342" spans="1:14" x14ac:dyDescent="0.2">
      <c r="A342" s="29"/>
      <c r="B342" s="2"/>
      <c r="C342" s="10"/>
      <c r="D342" s="2"/>
      <c r="E342" s="2"/>
      <c r="F342" s="2"/>
      <c r="G342" s="10"/>
      <c r="H342" s="6"/>
      <c r="I342" s="10"/>
      <c r="J342" s="2"/>
      <c r="K342" s="10"/>
      <c r="L342" s="10"/>
      <c r="M342" s="6"/>
      <c r="N342" s="2"/>
    </row>
    <row r="343" spans="1:14" x14ac:dyDescent="0.2">
      <c r="A343" s="29"/>
      <c r="B343" s="2"/>
      <c r="C343" s="10"/>
      <c r="D343" s="2"/>
      <c r="E343" s="2"/>
      <c r="F343" s="2"/>
      <c r="G343" s="10"/>
      <c r="H343" s="6"/>
      <c r="I343" s="10"/>
      <c r="J343" s="2"/>
      <c r="K343" s="10"/>
      <c r="L343" s="10"/>
      <c r="M343" s="6"/>
      <c r="N343" s="2"/>
    </row>
    <row r="344" spans="1:14" x14ac:dyDescent="0.2">
      <c r="A344" s="29"/>
      <c r="B344" s="2"/>
      <c r="C344" s="10"/>
      <c r="D344" s="2"/>
      <c r="E344" s="2"/>
      <c r="F344" s="2"/>
      <c r="G344" s="10"/>
      <c r="H344" s="6"/>
      <c r="I344" s="10"/>
      <c r="J344" s="2"/>
      <c r="K344" s="10"/>
      <c r="L344" s="10"/>
      <c r="M344" s="6"/>
      <c r="N344" s="2"/>
    </row>
    <row r="345" spans="1:14" x14ac:dyDescent="0.2">
      <c r="A345" s="29"/>
    </row>
    <row r="346" spans="1:14" x14ac:dyDescent="0.2">
      <c r="A346" s="29"/>
    </row>
    <row r="347" spans="1:14" x14ac:dyDescent="0.2">
      <c r="A347" s="29"/>
    </row>
    <row r="348" spans="1:14" x14ac:dyDescent="0.2">
      <c r="A348" s="29"/>
    </row>
    <row r="349" spans="1:14" x14ac:dyDescent="0.2">
      <c r="A349" s="29"/>
    </row>
    <row r="350" spans="1:14" x14ac:dyDescent="0.2">
      <c r="A350" s="29"/>
    </row>
    <row r="351" spans="1:14" x14ac:dyDescent="0.2">
      <c r="A351" s="29"/>
    </row>
    <row r="352" spans="1:14" x14ac:dyDescent="0.2">
      <c r="A352" s="29"/>
    </row>
    <row r="353" spans="1:1" x14ac:dyDescent="0.2">
      <c r="A353" s="29"/>
    </row>
    <row r="354" spans="1:1" x14ac:dyDescent="0.2">
      <c r="A354" s="29"/>
    </row>
    <row r="355" spans="1:1" x14ac:dyDescent="0.2">
      <c r="A355" s="29"/>
    </row>
    <row r="356" spans="1:1" x14ac:dyDescent="0.2">
      <c r="A356" s="29"/>
    </row>
    <row r="357" spans="1:1" x14ac:dyDescent="0.2">
      <c r="A357" s="29"/>
    </row>
    <row r="358" spans="1:1" x14ac:dyDescent="0.2">
      <c r="A358" s="29"/>
    </row>
    <row r="359" spans="1:1" x14ac:dyDescent="0.2">
      <c r="A359" s="29"/>
    </row>
    <row r="360" spans="1:1" x14ac:dyDescent="0.2">
      <c r="A360" s="29"/>
    </row>
    <row r="361" spans="1:1" x14ac:dyDescent="0.2">
      <c r="A361" s="29"/>
    </row>
    <row r="362" spans="1:1" x14ac:dyDescent="0.2">
      <c r="A362" s="29"/>
    </row>
    <row r="363" spans="1:1" x14ac:dyDescent="0.2">
      <c r="A363" s="29"/>
    </row>
    <row r="364" spans="1:1" x14ac:dyDescent="0.2">
      <c r="A364" s="29"/>
    </row>
    <row r="365" spans="1:1" x14ac:dyDescent="0.2">
      <c r="A365" s="29"/>
    </row>
    <row r="366" spans="1:1" x14ac:dyDescent="0.2">
      <c r="A366" s="29"/>
    </row>
    <row r="367" spans="1:1" x14ac:dyDescent="0.2">
      <c r="A367" s="29"/>
    </row>
    <row r="368" spans="1:1" x14ac:dyDescent="0.2">
      <c r="A368" s="29"/>
    </row>
    <row r="369" spans="1:1" x14ac:dyDescent="0.2">
      <c r="A369" s="29"/>
    </row>
    <row r="370" spans="1:1" x14ac:dyDescent="0.2">
      <c r="A370" s="29"/>
    </row>
    <row r="371" spans="1:1" x14ac:dyDescent="0.2">
      <c r="A371" s="29"/>
    </row>
    <row r="372" spans="1:1" x14ac:dyDescent="0.2">
      <c r="A372" s="29"/>
    </row>
    <row r="373" spans="1:1" x14ac:dyDescent="0.2">
      <c r="A373" s="29"/>
    </row>
    <row r="374" spans="1:1" x14ac:dyDescent="0.2">
      <c r="A374" s="29"/>
    </row>
    <row r="375" spans="1:1" x14ac:dyDescent="0.2">
      <c r="A375" s="29"/>
    </row>
    <row r="376" spans="1:1" x14ac:dyDescent="0.2">
      <c r="A376" s="29"/>
    </row>
    <row r="377" spans="1:1" x14ac:dyDescent="0.2">
      <c r="A377" s="29"/>
    </row>
    <row r="378" spans="1:1" x14ac:dyDescent="0.2">
      <c r="A378" s="29"/>
    </row>
    <row r="379" spans="1:1" x14ac:dyDescent="0.2">
      <c r="A379" s="29"/>
    </row>
    <row r="380" spans="1:1" x14ac:dyDescent="0.2">
      <c r="A380" s="29"/>
    </row>
    <row r="381" spans="1:1" x14ac:dyDescent="0.2">
      <c r="A381" s="29"/>
    </row>
    <row r="382" spans="1:1" x14ac:dyDescent="0.2">
      <c r="A382" s="29"/>
    </row>
    <row r="383" spans="1:1" x14ac:dyDescent="0.2">
      <c r="A383" s="29"/>
    </row>
    <row r="384" spans="1:1" x14ac:dyDescent="0.2">
      <c r="A384" s="29"/>
    </row>
    <row r="385" spans="1:1" x14ac:dyDescent="0.2">
      <c r="A385" s="29"/>
    </row>
    <row r="386" spans="1:1" x14ac:dyDescent="0.2">
      <c r="A386" s="29"/>
    </row>
    <row r="387" spans="1:1" x14ac:dyDescent="0.2">
      <c r="A387" s="29"/>
    </row>
    <row r="388" spans="1:1" x14ac:dyDescent="0.2">
      <c r="A388" s="29"/>
    </row>
    <row r="389" spans="1:1" x14ac:dyDescent="0.2">
      <c r="A389" s="29"/>
    </row>
    <row r="390" spans="1:1" x14ac:dyDescent="0.2">
      <c r="A390" s="29"/>
    </row>
    <row r="391" spans="1:1" x14ac:dyDescent="0.2">
      <c r="A391" s="29"/>
    </row>
    <row r="392" spans="1:1" x14ac:dyDescent="0.2">
      <c r="A392" s="29"/>
    </row>
    <row r="393" spans="1:1" x14ac:dyDescent="0.2">
      <c r="A393" s="29"/>
    </row>
    <row r="394" spans="1:1" x14ac:dyDescent="0.2">
      <c r="A394" s="29"/>
    </row>
    <row r="395" spans="1:1" x14ac:dyDescent="0.2">
      <c r="A395" s="29"/>
    </row>
    <row r="396" spans="1:1" x14ac:dyDescent="0.2">
      <c r="A396" s="29"/>
    </row>
    <row r="397" spans="1:1" x14ac:dyDescent="0.2">
      <c r="A397" s="29"/>
    </row>
    <row r="398" spans="1:1" x14ac:dyDescent="0.2">
      <c r="A398" s="29"/>
    </row>
    <row r="399" spans="1:1" x14ac:dyDescent="0.2">
      <c r="A399" s="29"/>
    </row>
    <row r="400" spans="1:1" x14ac:dyDescent="0.2">
      <c r="A400" s="29"/>
    </row>
    <row r="401" spans="1:1" x14ac:dyDescent="0.2">
      <c r="A401" s="29"/>
    </row>
    <row r="402" spans="1:1" x14ac:dyDescent="0.2">
      <c r="A402" s="29"/>
    </row>
    <row r="403" spans="1:1" x14ac:dyDescent="0.2">
      <c r="A403" s="29"/>
    </row>
    <row r="404" spans="1:1" x14ac:dyDescent="0.2">
      <c r="A404" s="29"/>
    </row>
    <row r="405" spans="1:1" x14ac:dyDescent="0.2">
      <c r="A405" s="29"/>
    </row>
    <row r="406" spans="1:1" x14ac:dyDescent="0.2">
      <c r="A406" s="29"/>
    </row>
    <row r="407" spans="1:1" x14ac:dyDescent="0.2">
      <c r="A407" s="29"/>
    </row>
    <row r="408" spans="1:1" x14ac:dyDescent="0.2">
      <c r="A408" s="29"/>
    </row>
    <row r="409" spans="1:1" x14ac:dyDescent="0.2">
      <c r="A409" s="29"/>
    </row>
    <row r="410" spans="1:1" x14ac:dyDescent="0.2">
      <c r="A410" s="29"/>
    </row>
    <row r="411" spans="1:1" x14ac:dyDescent="0.2">
      <c r="A411" s="29"/>
    </row>
    <row r="412" spans="1:1" x14ac:dyDescent="0.2">
      <c r="A412" s="29"/>
    </row>
    <row r="413" spans="1:1" x14ac:dyDescent="0.2">
      <c r="A413" s="29"/>
    </row>
    <row r="414" spans="1:1" x14ac:dyDescent="0.2">
      <c r="A414" s="29"/>
    </row>
    <row r="415" spans="1:1" x14ac:dyDescent="0.2">
      <c r="A415" s="29"/>
    </row>
    <row r="416" spans="1:1" x14ac:dyDescent="0.2">
      <c r="A416" s="29"/>
    </row>
    <row r="417" spans="1:1" x14ac:dyDescent="0.2">
      <c r="A417" s="29"/>
    </row>
    <row r="418" spans="1:1" x14ac:dyDescent="0.2">
      <c r="A418" s="29"/>
    </row>
    <row r="419" spans="1:1" x14ac:dyDescent="0.2">
      <c r="A419" s="29"/>
    </row>
    <row r="420" spans="1:1" x14ac:dyDescent="0.2">
      <c r="A420" s="29"/>
    </row>
    <row r="421" spans="1:1" x14ac:dyDescent="0.2">
      <c r="A421" s="29"/>
    </row>
    <row r="422" spans="1:1" x14ac:dyDescent="0.2">
      <c r="A422" s="29"/>
    </row>
    <row r="423" spans="1:1" x14ac:dyDescent="0.2">
      <c r="A423" s="29"/>
    </row>
    <row r="424" spans="1:1" x14ac:dyDescent="0.2">
      <c r="A424" s="29"/>
    </row>
    <row r="425" spans="1:1" x14ac:dyDescent="0.2">
      <c r="A425" s="29"/>
    </row>
    <row r="426" spans="1:1" x14ac:dyDescent="0.2">
      <c r="A426" s="29"/>
    </row>
    <row r="427" spans="1:1" x14ac:dyDescent="0.2">
      <c r="A427" s="29"/>
    </row>
    <row r="428" spans="1:1" x14ac:dyDescent="0.2">
      <c r="A428" s="29"/>
    </row>
    <row r="429" spans="1:1" x14ac:dyDescent="0.2">
      <c r="A429" s="29"/>
    </row>
    <row r="430" spans="1:1" x14ac:dyDescent="0.2">
      <c r="A430" s="29"/>
    </row>
    <row r="431" spans="1:1" x14ac:dyDescent="0.2">
      <c r="A431" s="29"/>
    </row>
    <row r="432" spans="1:1" x14ac:dyDescent="0.2">
      <c r="A432" s="29"/>
    </row>
    <row r="433" spans="1:1" x14ac:dyDescent="0.2">
      <c r="A433" s="29"/>
    </row>
    <row r="434" spans="1:1" x14ac:dyDescent="0.2">
      <c r="A434" s="29"/>
    </row>
    <row r="435" spans="1:1" x14ac:dyDescent="0.2">
      <c r="A435" s="29"/>
    </row>
    <row r="436" spans="1:1" x14ac:dyDescent="0.2">
      <c r="A436" s="29"/>
    </row>
    <row r="437" spans="1:1" x14ac:dyDescent="0.2">
      <c r="A437" s="29"/>
    </row>
    <row r="438" spans="1:1" x14ac:dyDescent="0.2">
      <c r="A438" s="29"/>
    </row>
    <row r="439" spans="1:1" x14ac:dyDescent="0.2">
      <c r="A439" s="29"/>
    </row>
    <row r="440" spans="1:1" x14ac:dyDescent="0.2">
      <c r="A440" s="29"/>
    </row>
    <row r="441" spans="1:1" x14ac:dyDescent="0.2">
      <c r="A441" s="29"/>
    </row>
    <row r="442" spans="1:1" x14ac:dyDescent="0.2">
      <c r="A442" s="29"/>
    </row>
    <row r="443" spans="1:1" x14ac:dyDescent="0.2">
      <c r="A443" s="29"/>
    </row>
    <row r="444" spans="1:1" x14ac:dyDescent="0.2">
      <c r="A444" s="29"/>
    </row>
    <row r="445" spans="1:1" x14ac:dyDescent="0.2">
      <c r="A445" s="29"/>
    </row>
    <row r="446" spans="1:1" x14ac:dyDescent="0.2">
      <c r="A446" s="29"/>
    </row>
    <row r="447" spans="1:1" x14ac:dyDescent="0.2">
      <c r="A447" s="29"/>
    </row>
    <row r="448" spans="1:1" x14ac:dyDescent="0.2">
      <c r="A448" s="29"/>
    </row>
    <row r="449" spans="1:1" x14ac:dyDescent="0.2">
      <c r="A449" s="29"/>
    </row>
    <row r="450" spans="1:1" x14ac:dyDescent="0.2">
      <c r="A450" s="29"/>
    </row>
    <row r="451" spans="1:1" x14ac:dyDescent="0.2">
      <c r="A451" s="29"/>
    </row>
    <row r="452" spans="1:1" x14ac:dyDescent="0.2">
      <c r="A452" s="29"/>
    </row>
    <row r="453" spans="1:1" x14ac:dyDescent="0.2">
      <c r="A453" s="29"/>
    </row>
    <row r="454" spans="1:1" x14ac:dyDescent="0.2">
      <c r="A454" s="29"/>
    </row>
    <row r="455" spans="1:1" x14ac:dyDescent="0.2">
      <c r="A455" s="29"/>
    </row>
    <row r="456" spans="1:1" x14ac:dyDescent="0.2">
      <c r="A456" s="29"/>
    </row>
    <row r="457" spans="1:1" x14ac:dyDescent="0.2">
      <c r="A457" s="29"/>
    </row>
    <row r="458" spans="1:1" x14ac:dyDescent="0.2">
      <c r="A458" s="29"/>
    </row>
    <row r="459" spans="1:1" x14ac:dyDescent="0.2">
      <c r="A459" s="29"/>
    </row>
    <row r="460" spans="1:1" x14ac:dyDescent="0.2">
      <c r="A460" s="29"/>
    </row>
    <row r="461" spans="1:1" x14ac:dyDescent="0.2">
      <c r="A461" s="29"/>
    </row>
    <row r="462" spans="1:1" x14ac:dyDescent="0.2">
      <c r="A462" s="29"/>
    </row>
    <row r="463" spans="1:1" x14ac:dyDescent="0.2">
      <c r="A463" s="29"/>
    </row>
    <row r="464" spans="1:1" x14ac:dyDescent="0.2">
      <c r="A464" s="29"/>
    </row>
    <row r="465" spans="1:1" x14ac:dyDescent="0.2">
      <c r="A465" s="29"/>
    </row>
    <row r="466" spans="1:1" x14ac:dyDescent="0.2">
      <c r="A466" s="29"/>
    </row>
    <row r="467" spans="1:1" x14ac:dyDescent="0.2">
      <c r="A467" s="29"/>
    </row>
    <row r="468" spans="1:1" x14ac:dyDescent="0.2">
      <c r="A468" s="29"/>
    </row>
    <row r="469" spans="1:1" x14ac:dyDescent="0.2">
      <c r="A469" s="29"/>
    </row>
    <row r="470" spans="1:1" x14ac:dyDescent="0.2">
      <c r="A470" s="29"/>
    </row>
    <row r="471" spans="1:1" x14ac:dyDescent="0.2">
      <c r="A471" s="29"/>
    </row>
    <row r="472" spans="1:1" x14ac:dyDescent="0.2">
      <c r="A472" s="29"/>
    </row>
    <row r="473" spans="1:1" x14ac:dyDescent="0.2">
      <c r="A473" s="29"/>
    </row>
    <row r="474" spans="1:1" x14ac:dyDescent="0.2">
      <c r="A474" s="29"/>
    </row>
    <row r="475" spans="1:1" x14ac:dyDescent="0.2">
      <c r="A475" s="29"/>
    </row>
    <row r="476" spans="1:1" x14ac:dyDescent="0.2">
      <c r="A476" s="29"/>
    </row>
    <row r="477" spans="1:1" x14ac:dyDescent="0.2">
      <c r="A477" s="29"/>
    </row>
    <row r="478" spans="1:1" x14ac:dyDescent="0.2">
      <c r="A478" s="29"/>
    </row>
    <row r="479" spans="1:1" x14ac:dyDescent="0.2">
      <c r="A479" s="29"/>
    </row>
    <row r="480" spans="1:1" x14ac:dyDescent="0.2">
      <c r="A480" s="29"/>
    </row>
    <row r="481" spans="1:1" x14ac:dyDescent="0.2">
      <c r="A481" s="29"/>
    </row>
    <row r="482" spans="1:1" x14ac:dyDescent="0.2">
      <c r="A482" s="29"/>
    </row>
    <row r="483" spans="1:1" x14ac:dyDescent="0.2">
      <c r="A483" s="29"/>
    </row>
    <row r="484" spans="1:1" x14ac:dyDescent="0.2">
      <c r="A484" s="29"/>
    </row>
    <row r="485" spans="1:1" x14ac:dyDescent="0.2">
      <c r="A485" s="29"/>
    </row>
    <row r="486" spans="1:1" x14ac:dyDescent="0.2">
      <c r="A486" s="29"/>
    </row>
    <row r="487" spans="1:1" x14ac:dyDescent="0.2">
      <c r="A487" s="29"/>
    </row>
    <row r="488" spans="1:1" x14ac:dyDescent="0.2">
      <c r="A488" s="29"/>
    </row>
    <row r="489" spans="1:1" x14ac:dyDescent="0.2">
      <c r="A489" s="29"/>
    </row>
    <row r="490" spans="1:1" x14ac:dyDescent="0.2">
      <c r="A490" s="29"/>
    </row>
    <row r="491" spans="1:1" x14ac:dyDescent="0.2">
      <c r="A491" s="29"/>
    </row>
    <row r="492" spans="1:1" x14ac:dyDescent="0.2">
      <c r="A492" s="29"/>
    </row>
    <row r="493" spans="1:1" x14ac:dyDescent="0.2">
      <c r="A493" s="29"/>
    </row>
    <row r="494" spans="1:1" x14ac:dyDescent="0.2">
      <c r="A494" s="29"/>
    </row>
    <row r="495" spans="1:1" x14ac:dyDescent="0.2">
      <c r="A495" s="29"/>
    </row>
    <row r="496" spans="1:1" x14ac:dyDescent="0.2">
      <c r="A496" s="29"/>
    </row>
    <row r="497" spans="1:1" x14ac:dyDescent="0.2">
      <c r="A497" s="29"/>
    </row>
    <row r="498" spans="1:1" x14ac:dyDescent="0.2">
      <c r="A498" s="29"/>
    </row>
    <row r="499" spans="1:1" x14ac:dyDescent="0.2">
      <c r="A499" s="29"/>
    </row>
    <row r="500" spans="1:1" x14ac:dyDescent="0.2">
      <c r="A500" s="29"/>
    </row>
    <row r="501" spans="1:1" x14ac:dyDescent="0.2">
      <c r="A501" s="29"/>
    </row>
    <row r="502" spans="1:1" x14ac:dyDescent="0.2">
      <c r="A502" s="29"/>
    </row>
    <row r="503" spans="1:1" x14ac:dyDescent="0.2">
      <c r="A503" s="29"/>
    </row>
    <row r="504" spans="1:1" x14ac:dyDescent="0.2">
      <c r="A504" s="29"/>
    </row>
    <row r="505" spans="1:1" x14ac:dyDescent="0.2">
      <c r="A505" s="29"/>
    </row>
    <row r="506" spans="1:1" x14ac:dyDescent="0.2">
      <c r="A506" s="29"/>
    </row>
    <row r="507" spans="1:1" x14ac:dyDescent="0.2">
      <c r="A507" s="29"/>
    </row>
    <row r="508" spans="1:1" x14ac:dyDescent="0.2">
      <c r="A508" s="29"/>
    </row>
    <row r="509" spans="1:1" x14ac:dyDescent="0.2">
      <c r="A509" s="29"/>
    </row>
    <row r="510" spans="1:1" x14ac:dyDescent="0.2">
      <c r="A510" s="29"/>
    </row>
    <row r="511" spans="1:1" x14ac:dyDescent="0.2">
      <c r="A511" s="29"/>
    </row>
    <row r="512" spans="1:1" x14ac:dyDescent="0.2">
      <c r="A512" s="29"/>
    </row>
    <row r="513" spans="1:1" x14ac:dyDescent="0.2">
      <c r="A513" s="29"/>
    </row>
    <row r="514" spans="1:1" x14ac:dyDescent="0.2">
      <c r="A514" s="29"/>
    </row>
    <row r="515" spans="1:1" x14ac:dyDescent="0.2">
      <c r="A515" s="29"/>
    </row>
    <row r="516" spans="1:1" x14ac:dyDescent="0.2">
      <c r="A516" s="29"/>
    </row>
    <row r="517" spans="1:1" x14ac:dyDescent="0.2">
      <c r="A517" s="29"/>
    </row>
    <row r="518" spans="1:1" x14ac:dyDescent="0.2">
      <c r="A518" s="29"/>
    </row>
    <row r="519" spans="1:1" x14ac:dyDescent="0.2">
      <c r="A519" s="29"/>
    </row>
    <row r="520" spans="1:1" x14ac:dyDescent="0.2">
      <c r="A520" s="29"/>
    </row>
    <row r="521" spans="1:1" x14ac:dyDescent="0.2">
      <c r="A521" s="29"/>
    </row>
    <row r="522" spans="1:1" x14ac:dyDescent="0.2">
      <c r="A522" s="29"/>
    </row>
    <row r="523" spans="1:1" x14ac:dyDescent="0.2">
      <c r="A523" s="29"/>
    </row>
    <row r="524" spans="1:1" x14ac:dyDescent="0.2">
      <c r="A524" s="29"/>
    </row>
    <row r="525" spans="1:1" x14ac:dyDescent="0.2">
      <c r="A525" s="29"/>
    </row>
    <row r="526" spans="1:1" x14ac:dyDescent="0.2">
      <c r="A526" s="29"/>
    </row>
    <row r="527" spans="1:1" x14ac:dyDescent="0.2">
      <c r="A527" s="29"/>
    </row>
    <row r="528" spans="1:1" x14ac:dyDescent="0.2">
      <c r="A528" s="29"/>
    </row>
    <row r="529" spans="1:1" x14ac:dyDescent="0.2">
      <c r="A529" s="29"/>
    </row>
    <row r="530" spans="1:1" x14ac:dyDescent="0.2">
      <c r="A530" s="29"/>
    </row>
    <row r="531" spans="1:1" x14ac:dyDescent="0.2">
      <c r="A531" s="29"/>
    </row>
    <row r="532" spans="1:1" x14ac:dyDescent="0.2">
      <c r="A532" s="29"/>
    </row>
    <row r="533" spans="1:1" x14ac:dyDescent="0.2">
      <c r="A533" s="29"/>
    </row>
    <row r="534" spans="1:1" x14ac:dyDescent="0.2">
      <c r="A534" s="29"/>
    </row>
    <row r="535" spans="1:1" x14ac:dyDescent="0.2">
      <c r="A535" s="29"/>
    </row>
    <row r="536" spans="1:1" x14ac:dyDescent="0.2">
      <c r="A536" s="29"/>
    </row>
    <row r="537" spans="1:1" x14ac:dyDescent="0.2">
      <c r="A537" s="29"/>
    </row>
    <row r="538" spans="1:1" x14ac:dyDescent="0.2">
      <c r="A538" s="29"/>
    </row>
    <row r="539" spans="1:1" x14ac:dyDescent="0.2">
      <c r="A539" s="29"/>
    </row>
    <row r="540" spans="1:1" x14ac:dyDescent="0.2">
      <c r="A540" s="29"/>
    </row>
    <row r="541" spans="1:1" x14ac:dyDescent="0.2">
      <c r="A541" s="29"/>
    </row>
    <row r="542" spans="1:1" x14ac:dyDescent="0.2">
      <c r="A542" s="29"/>
    </row>
    <row r="543" spans="1:1" x14ac:dyDescent="0.2">
      <c r="A543" s="29"/>
    </row>
    <row r="544" spans="1:1" x14ac:dyDescent="0.2">
      <c r="A544" s="29"/>
    </row>
    <row r="545" spans="1:1" x14ac:dyDescent="0.2">
      <c r="A545" s="29"/>
    </row>
    <row r="546" spans="1:1" x14ac:dyDescent="0.2">
      <c r="A546" s="29"/>
    </row>
    <row r="547" spans="1:1" x14ac:dyDescent="0.2">
      <c r="A547" s="29"/>
    </row>
    <row r="548" spans="1:1" x14ac:dyDescent="0.2">
      <c r="A548" s="29"/>
    </row>
    <row r="549" spans="1:1" x14ac:dyDescent="0.2">
      <c r="A549" s="29"/>
    </row>
    <row r="550" spans="1:1" x14ac:dyDescent="0.2">
      <c r="A550" s="29"/>
    </row>
    <row r="551" spans="1:1" x14ac:dyDescent="0.2">
      <c r="A551" s="29"/>
    </row>
    <row r="552" spans="1:1" x14ac:dyDescent="0.2">
      <c r="A552" s="29"/>
    </row>
    <row r="553" spans="1:1" x14ac:dyDescent="0.2">
      <c r="A553" s="29"/>
    </row>
    <row r="554" spans="1:1" x14ac:dyDescent="0.2">
      <c r="A554" s="29"/>
    </row>
    <row r="555" spans="1:1" x14ac:dyDescent="0.2">
      <c r="A555" s="29"/>
    </row>
    <row r="556" spans="1:1" x14ac:dyDescent="0.2">
      <c r="A556" s="29"/>
    </row>
    <row r="557" spans="1:1" x14ac:dyDescent="0.2">
      <c r="A557" s="29"/>
    </row>
    <row r="558" spans="1:1" x14ac:dyDescent="0.2">
      <c r="A558" s="29"/>
    </row>
    <row r="559" spans="1:1" x14ac:dyDescent="0.2">
      <c r="A559" s="29"/>
    </row>
    <row r="560" spans="1:1" x14ac:dyDescent="0.2">
      <c r="A560" s="29"/>
    </row>
    <row r="561" spans="1:1" x14ac:dyDescent="0.2">
      <c r="A561" s="29"/>
    </row>
    <row r="562" spans="1:1" x14ac:dyDescent="0.2">
      <c r="A562" s="29"/>
    </row>
    <row r="563" spans="1:1" x14ac:dyDescent="0.2">
      <c r="A563" s="29"/>
    </row>
    <row r="564" spans="1:1" x14ac:dyDescent="0.2">
      <c r="A564" s="29"/>
    </row>
    <row r="565" spans="1:1" x14ac:dyDescent="0.2">
      <c r="A565" s="29"/>
    </row>
    <row r="566" spans="1:1" x14ac:dyDescent="0.2">
      <c r="A566" s="29"/>
    </row>
    <row r="567" spans="1:1" x14ac:dyDescent="0.2">
      <c r="A567" s="29"/>
    </row>
    <row r="568" spans="1:1" x14ac:dyDescent="0.2">
      <c r="A568" s="29"/>
    </row>
    <row r="569" spans="1:1" x14ac:dyDescent="0.2">
      <c r="A569" s="29"/>
    </row>
    <row r="570" spans="1:1" x14ac:dyDescent="0.2">
      <c r="A570" s="29"/>
    </row>
    <row r="571" spans="1:1" x14ac:dyDescent="0.2">
      <c r="A571" s="29"/>
    </row>
    <row r="572" spans="1:1" x14ac:dyDescent="0.2">
      <c r="A572" s="29"/>
    </row>
    <row r="573" spans="1:1" x14ac:dyDescent="0.2">
      <c r="A573" s="29"/>
    </row>
    <row r="574" spans="1:1" x14ac:dyDescent="0.2">
      <c r="A574" s="29"/>
    </row>
    <row r="575" spans="1:1" x14ac:dyDescent="0.2">
      <c r="A575" s="29"/>
    </row>
    <row r="576" spans="1:1" x14ac:dyDescent="0.2">
      <c r="A576" s="29"/>
    </row>
    <row r="577" spans="1:1" x14ac:dyDescent="0.2">
      <c r="A577" s="29"/>
    </row>
    <row r="578" spans="1:1" x14ac:dyDescent="0.2">
      <c r="A578" s="29"/>
    </row>
    <row r="579" spans="1:1" x14ac:dyDescent="0.2">
      <c r="A579" s="29"/>
    </row>
    <row r="580" spans="1:1" x14ac:dyDescent="0.2">
      <c r="A580" s="29"/>
    </row>
    <row r="581" spans="1:1" x14ac:dyDescent="0.2">
      <c r="A581" s="29"/>
    </row>
    <row r="582" spans="1:1" x14ac:dyDescent="0.2">
      <c r="A582" s="29"/>
    </row>
    <row r="583" spans="1:1" x14ac:dyDescent="0.2">
      <c r="A583" s="29"/>
    </row>
    <row r="584" spans="1:1" x14ac:dyDescent="0.2">
      <c r="A584" s="29"/>
    </row>
    <row r="585" spans="1:1" x14ac:dyDescent="0.2">
      <c r="A585" s="29"/>
    </row>
    <row r="586" spans="1:1" x14ac:dyDescent="0.2">
      <c r="A586" s="29"/>
    </row>
    <row r="587" spans="1:1" x14ac:dyDescent="0.2">
      <c r="A587" s="29"/>
    </row>
    <row r="588" spans="1:1" x14ac:dyDescent="0.2">
      <c r="A588" s="29"/>
    </row>
    <row r="589" spans="1:1" x14ac:dyDescent="0.2">
      <c r="A589" s="29"/>
    </row>
    <row r="590" spans="1:1" x14ac:dyDescent="0.2">
      <c r="A590" s="29"/>
    </row>
    <row r="591" spans="1:1" x14ac:dyDescent="0.2">
      <c r="A591" s="29"/>
    </row>
    <row r="592" spans="1:1" x14ac:dyDescent="0.2">
      <c r="A592" s="29"/>
    </row>
    <row r="593" spans="1:1" x14ac:dyDescent="0.2">
      <c r="A593" s="29"/>
    </row>
    <row r="594" spans="1:1" x14ac:dyDescent="0.2">
      <c r="A594" s="29"/>
    </row>
    <row r="595" spans="1:1" x14ac:dyDescent="0.2">
      <c r="A595" s="29"/>
    </row>
    <row r="596" spans="1:1" x14ac:dyDescent="0.2">
      <c r="A596" s="29"/>
    </row>
    <row r="597" spans="1:1" x14ac:dyDescent="0.2">
      <c r="A597" s="29"/>
    </row>
    <row r="598" spans="1:1" x14ac:dyDescent="0.2">
      <c r="A598" s="29"/>
    </row>
    <row r="599" spans="1:1" x14ac:dyDescent="0.2">
      <c r="A599" s="29"/>
    </row>
    <row r="600" spans="1:1" x14ac:dyDescent="0.2">
      <c r="A600" s="29"/>
    </row>
    <row r="601" spans="1:1" x14ac:dyDescent="0.2">
      <c r="A601" s="29"/>
    </row>
    <row r="602" spans="1:1" x14ac:dyDescent="0.2">
      <c r="A602" s="29"/>
    </row>
    <row r="603" spans="1:1" x14ac:dyDescent="0.2">
      <c r="A603" s="29"/>
    </row>
    <row r="604" spans="1:1" x14ac:dyDescent="0.2">
      <c r="A604" s="29"/>
    </row>
    <row r="605" spans="1:1" x14ac:dyDescent="0.2">
      <c r="A605" s="29"/>
    </row>
    <row r="606" spans="1:1" x14ac:dyDescent="0.2">
      <c r="A606" s="29"/>
    </row>
    <row r="607" spans="1:1" x14ac:dyDescent="0.2">
      <c r="A607" s="29"/>
    </row>
    <row r="608" spans="1:1" x14ac:dyDescent="0.2">
      <c r="A608" s="29"/>
    </row>
    <row r="609" spans="1:14" x14ac:dyDescent="0.2">
      <c r="A609" s="29"/>
    </row>
    <row r="610" spans="1:14" x14ac:dyDescent="0.2">
      <c r="A610" s="29"/>
    </row>
    <row r="611" spans="1:14" x14ac:dyDescent="0.2">
      <c r="A611" s="29"/>
    </row>
    <row r="612" spans="1:14" x14ac:dyDescent="0.2">
      <c r="A612" s="29"/>
    </row>
    <row r="613" spans="1:14" x14ac:dyDescent="0.2">
      <c r="A613" s="29"/>
    </row>
    <row r="614" spans="1:14" x14ac:dyDescent="0.2">
      <c r="A614" s="29"/>
    </row>
    <row r="615" spans="1:14" x14ac:dyDescent="0.2">
      <c r="A615" s="29"/>
    </row>
    <row r="616" spans="1:14" x14ac:dyDescent="0.2">
      <c r="A616" s="29"/>
    </row>
    <row r="617" spans="1:14" x14ac:dyDescent="0.2">
      <c r="A617" s="29"/>
    </row>
    <row r="618" spans="1:14" x14ac:dyDescent="0.2">
      <c r="A618" s="29"/>
    </row>
    <row r="619" spans="1:14" x14ac:dyDescent="0.2">
      <c r="A619" s="29"/>
    </row>
    <row r="620" spans="1:14" x14ac:dyDescent="0.2">
      <c r="A620" s="29"/>
    </row>
    <row r="621" spans="1:14" x14ac:dyDescent="0.2">
      <c r="A621" s="29"/>
    </row>
    <row r="622" spans="1:14" x14ac:dyDescent="0.2">
      <c r="A622" s="29"/>
      <c r="B622" s="2"/>
      <c r="C622" s="10"/>
      <c r="D622" s="2"/>
      <c r="E622" s="21"/>
      <c r="F622" s="2" t="s">
        <v>11</v>
      </c>
      <c r="G622" s="10" t="s">
        <v>11</v>
      </c>
      <c r="H622" s="6" t="s">
        <v>11</v>
      </c>
      <c r="I622" s="10"/>
      <c r="J622" s="2" t="s">
        <v>11</v>
      </c>
      <c r="K622" s="22" t="s">
        <v>11</v>
      </c>
      <c r="L622" s="10" t="s">
        <v>11</v>
      </c>
      <c r="M622" s="6" t="s">
        <v>11</v>
      </c>
      <c r="N622" s="21" t="s">
        <v>11</v>
      </c>
    </row>
    <row r="623" spans="1:14" x14ac:dyDescent="0.2">
      <c r="A623" s="29"/>
    </row>
    <row r="624" spans="1:14" x14ac:dyDescent="0.2">
      <c r="A624" s="29"/>
    </row>
    <row r="625" spans="1:1" x14ac:dyDescent="0.2">
      <c r="A625" s="29"/>
    </row>
    <row r="626" spans="1:1" x14ac:dyDescent="0.2">
      <c r="A626" s="29"/>
    </row>
    <row r="627" spans="1:1" x14ac:dyDescent="0.2">
      <c r="A627" s="29"/>
    </row>
    <row r="628" spans="1:1" x14ac:dyDescent="0.2">
      <c r="A628" s="29"/>
    </row>
    <row r="629" spans="1:1" x14ac:dyDescent="0.2">
      <c r="A629" s="29"/>
    </row>
    <row r="630" spans="1:1" x14ac:dyDescent="0.2">
      <c r="A630" s="29"/>
    </row>
    <row r="631" spans="1:1" x14ac:dyDescent="0.2">
      <c r="A631" s="29"/>
    </row>
    <row r="632" spans="1:1" x14ac:dyDescent="0.2">
      <c r="A632" s="29"/>
    </row>
    <row r="633" spans="1:1" x14ac:dyDescent="0.2">
      <c r="A633" s="29"/>
    </row>
    <row r="634" spans="1:1" x14ac:dyDescent="0.2">
      <c r="A634" s="29"/>
    </row>
    <row r="635" spans="1:1" x14ac:dyDescent="0.2">
      <c r="A635" s="29"/>
    </row>
    <row r="636" spans="1:1" x14ac:dyDescent="0.2">
      <c r="A636" s="29"/>
    </row>
    <row r="637" spans="1:1" x14ac:dyDescent="0.2">
      <c r="A637" s="29"/>
    </row>
    <row r="638" spans="1:1" x14ac:dyDescent="0.2">
      <c r="A638" s="29"/>
    </row>
    <row r="639" spans="1:1" x14ac:dyDescent="0.2">
      <c r="A639" s="29"/>
    </row>
    <row r="640" spans="1:1" x14ac:dyDescent="0.2">
      <c r="A640" s="29"/>
    </row>
    <row r="641" spans="1:1" x14ac:dyDescent="0.2">
      <c r="A641" s="29"/>
    </row>
    <row r="642" spans="1:1" x14ac:dyDescent="0.2">
      <c r="A642" s="29"/>
    </row>
    <row r="643" spans="1:1" x14ac:dyDescent="0.2">
      <c r="A643" s="29"/>
    </row>
    <row r="644" spans="1:1" x14ac:dyDescent="0.2">
      <c r="A644" s="29"/>
    </row>
    <row r="645" spans="1:1" x14ac:dyDescent="0.2">
      <c r="A645" s="29"/>
    </row>
    <row r="646" spans="1:1" x14ac:dyDescent="0.2">
      <c r="A646" s="29"/>
    </row>
    <row r="647" spans="1:1" x14ac:dyDescent="0.2">
      <c r="A647" s="29"/>
    </row>
    <row r="648" spans="1:1" x14ac:dyDescent="0.2">
      <c r="A648" s="29"/>
    </row>
    <row r="649" spans="1:1" x14ac:dyDescent="0.2">
      <c r="A649" s="29"/>
    </row>
    <row r="650" spans="1:1" x14ac:dyDescent="0.2">
      <c r="A650" s="29"/>
    </row>
    <row r="651" spans="1:1" x14ac:dyDescent="0.2">
      <c r="A651" s="29"/>
    </row>
    <row r="652" spans="1:1" x14ac:dyDescent="0.2">
      <c r="A652" s="29"/>
    </row>
    <row r="653" spans="1:1" x14ac:dyDescent="0.2">
      <c r="A653" s="29"/>
    </row>
    <row r="654" spans="1:1" x14ac:dyDescent="0.2">
      <c r="A654" s="29"/>
    </row>
    <row r="655" spans="1:1" x14ac:dyDescent="0.2">
      <c r="A655" s="29"/>
    </row>
    <row r="656" spans="1:1" x14ac:dyDescent="0.2">
      <c r="A656" s="29"/>
    </row>
    <row r="657" spans="1:1" x14ac:dyDescent="0.2">
      <c r="A657" s="29"/>
    </row>
    <row r="658" spans="1:1" x14ac:dyDescent="0.2">
      <c r="A658" s="29"/>
    </row>
    <row r="659" spans="1:1" x14ac:dyDescent="0.2">
      <c r="A659" s="29"/>
    </row>
    <row r="660" spans="1:1" x14ac:dyDescent="0.2">
      <c r="A660" s="29"/>
    </row>
    <row r="661" spans="1:1" x14ac:dyDescent="0.2">
      <c r="A661" s="29"/>
    </row>
    <row r="662" spans="1:1" x14ac:dyDescent="0.2">
      <c r="A662" s="29"/>
    </row>
    <row r="663" spans="1:1" x14ac:dyDescent="0.2">
      <c r="A663" s="29"/>
    </row>
    <row r="664" spans="1:1" x14ac:dyDescent="0.2">
      <c r="A664" s="29"/>
    </row>
    <row r="665" spans="1:1" x14ac:dyDescent="0.2">
      <c r="A665" s="29"/>
    </row>
    <row r="666" spans="1:1" x14ac:dyDescent="0.2">
      <c r="A666" s="29"/>
    </row>
    <row r="667" spans="1:1" x14ac:dyDescent="0.2">
      <c r="A667" s="29"/>
    </row>
    <row r="668" spans="1:1" x14ac:dyDescent="0.2">
      <c r="A668" s="29"/>
    </row>
    <row r="669" spans="1:1" x14ac:dyDescent="0.2">
      <c r="A669" s="29"/>
    </row>
    <row r="670" spans="1:1" x14ac:dyDescent="0.2">
      <c r="A670" s="29"/>
    </row>
  </sheetData>
  <sortState ref="A7:L500">
    <sortCondition ref="L7"/>
    <sortCondition ref="A7"/>
  </sortState>
  <mergeCells count="1">
    <mergeCell ref="A2:B2"/>
  </mergeCells>
  <phoneticPr fontId="2" type="noConversion"/>
  <conditionalFormatting sqref="A218:A670 A8:N339">
    <cfRule type="expression" dxfId="5" priority="124" stopIfTrue="1">
      <formula>AND($F8&lt;&gt;"ok",$F8&lt;&gt;"na",$G8&lt;&gt;"",$L8="")</formula>
    </cfRule>
    <cfRule type="expression" dxfId="4" priority="126" stopIfTrue="1">
      <formula>AND($F8="na")</formula>
    </cfRule>
  </conditionalFormatting>
  <conditionalFormatting sqref="A622:N622">
    <cfRule type="expression" dxfId="3" priority="16" stopIfTrue="1">
      <formula>AND($F622&lt;&gt;"ok",$F622&lt;&gt;"na",$G622&lt;&gt;"",$L622="")</formula>
    </cfRule>
    <cfRule type="expression" dxfId="2" priority="17" stopIfTrue="1">
      <formula>AND(MID($A622,4,4)=".000")</formula>
    </cfRule>
    <cfRule type="expression" dxfId="1" priority="18" stopIfTrue="1">
      <formula>AND($F622="na")</formula>
    </cfRule>
  </conditionalFormatting>
  <conditionalFormatting sqref="A8:N622">
    <cfRule type="expression" dxfId="0" priority="125" stopIfTrue="1">
      <formula>AND(INT($A8/1000)=$A8/1000,$A8&lt;&gt;"")</formula>
    </cfRule>
  </conditionalFormatting>
  <printOptions gridLines="1"/>
  <pageMargins left="0.39370078740157483" right="0.39370078740157483" top="0.39370078740157483" bottom="0.39370078740157483" header="0.51181102362204722" footer="0.19685039370078741"/>
  <pageSetup scale="56" fitToHeight="21" orientation="portrait" horizontalDpi="1200" verticalDpi="1200" r:id="rId1"/>
  <headerFooter alignWithMargins="0">
    <oddFooter>&amp;L&amp;D&amp;C&amp;F&amp;RPage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DateTestJour">
                <anchor moveWithCells="1" sizeWithCells="1">
                  <from>
                    <xdr:col>7</xdr:col>
                    <xdr:colOff>38100</xdr:colOff>
                    <xdr:row>6</xdr:row>
                    <xdr:rowOff>57150</xdr:rowOff>
                  </from>
                  <to>
                    <xdr:col>7</xdr:col>
                    <xdr:colOff>800100</xdr:colOff>
                    <xdr:row>6</xdr:row>
                    <xdr:rowOff>257175</xdr:rowOff>
                  </to>
                </anchor>
              </controlPr>
            </control>
          </mc:Choice>
        </mc:AlternateContent>
        <mc:AlternateContent xmlns:mc="http://schemas.openxmlformats.org/markup-compatibility/2006">
          <mc:Choice Requires="x14">
            <control shapeId="1029" r:id="rId5" name="Button 5">
              <controlPr defaultSize="0" print="0" autoFill="0" autoPict="0" macro="[0]!DateCorrectionJour">
                <anchor moveWithCells="1" sizeWithCells="1">
                  <from>
                    <xdr:col>12</xdr:col>
                    <xdr:colOff>38100</xdr:colOff>
                    <xdr:row>6</xdr:row>
                    <xdr:rowOff>304800</xdr:rowOff>
                  </from>
                  <to>
                    <xdr:col>12</xdr:col>
                    <xdr:colOff>800100</xdr:colOff>
                    <xdr:row>6</xdr:row>
                    <xdr:rowOff>504825</xdr:rowOff>
                  </to>
                </anchor>
              </controlPr>
            </control>
          </mc:Choice>
        </mc:AlternateContent>
        <mc:AlternateContent xmlns:mc="http://schemas.openxmlformats.org/markup-compatibility/2006">
          <mc:Choice Requires="x14">
            <control shapeId="1031" r:id="rId6" name="Button 7">
              <controlPr defaultSize="0" print="0" autoFill="0" autoPict="0" macro="[0]!CacherOK">
                <anchor moveWithCells="1" sizeWithCells="1">
                  <from>
                    <xdr:col>5</xdr:col>
                    <xdr:colOff>28575</xdr:colOff>
                    <xdr:row>6</xdr:row>
                    <xdr:rowOff>57150</xdr:rowOff>
                  </from>
                  <to>
                    <xdr:col>5</xdr:col>
                    <xdr:colOff>790575</xdr:colOff>
                    <xdr:row>6</xdr:row>
                    <xdr:rowOff>257175</xdr:rowOff>
                  </to>
                </anchor>
              </controlPr>
            </control>
          </mc:Choice>
        </mc:AlternateContent>
        <mc:AlternateContent xmlns:mc="http://schemas.openxmlformats.org/markup-compatibility/2006">
          <mc:Choice Requires="x14">
            <control shapeId="1032" r:id="rId7" name="Button 8">
              <controlPr defaultSize="0" print="0" autoFill="0" autoPict="0" macro="[0]!AfficherTout">
                <anchor moveWithCells="1" sizeWithCells="1">
                  <from>
                    <xdr:col>5</xdr:col>
                    <xdr:colOff>819150</xdr:colOff>
                    <xdr:row>6</xdr:row>
                    <xdr:rowOff>57150</xdr:rowOff>
                  </from>
                  <to>
                    <xdr:col>5</xdr:col>
                    <xdr:colOff>1581150</xdr:colOff>
                    <xdr:row>6</xdr:row>
                    <xdr:rowOff>257175</xdr:rowOff>
                  </to>
                </anchor>
              </controlPr>
            </control>
          </mc:Choice>
        </mc:AlternateContent>
        <mc:AlternateContent xmlns:mc="http://schemas.openxmlformats.org/markup-compatibility/2006">
          <mc:Choice Requires="x14">
            <control shapeId="1033" r:id="rId8" name="Button 9">
              <controlPr defaultSize="0" print="0" autoFill="0" autoPict="0" macro="[0]!TrierCas">
                <anchor moveWithCells="1" sizeWithCells="1">
                  <from>
                    <xdr:col>0</xdr:col>
                    <xdr:colOff>38100</xdr:colOff>
                    <xdr:row>6</xdr:row>
                    <xdr:rowOff>57150</xdr:rowOff>
                  </from>
                  <to>
                    <xdr:col>0</xdr:col>
                    <xdr:colOff>476250</xdr:colOff>
                    <xdr:row>6</xdr:row>
                    <xdr:rowOff>266700</xdr:rowOff>
                  </to>
                </anchor>
              </controlPr>
            </control>
          </mc:Choice>
        </mc:AlternateContent>
        <mc:AlternateContent xmlns:mc="http://schemas.openxmlformats.org/markup-compatibility/2006">
          <mc:Choice Requires="x14">
            <control shapeId="1034" r:id="rId9" name="Button 10">
              <controlPr defaultSize="0" print="0" autoFill="0" autoPict="0" macro="[0]!TrierGravite">
                <anchor moveWithCells="1" sizeWithCells="1">
                  <from>
                    <xdr:col>9</xdr:col>
                    <xdr:colOff>38100</xdr:colOff>
                    <xdr:row>6</xdr:row>
                    <xdr:rowOff>57150</xdr:rowOff>
                  </from>
                  <to>
                    <xdr:col>9</xdr:col>
                    <xdr:colOff>457200</xdr:colOff>
                    <xdr:row>6</xdr:row>
                    <xdr:rowOff>266700</xdr:rowOff>
                  </to>
                </anchor>
              </controlPr>
            </control>
          </mc:Choice>
        </mc:AlternateContent>
        <mc:AlternateContent xmlns:mc="http://schemas.openxmlformats.org/markup-compatibility/2006">
          <mc:Choice Requires="x14">
            <control shapeId="1035" r:id="rId10" name="Button 11">
              <controlPr defaultSize="0" print="0" autoFill="0" autoPict="0" macro="[0]!TrierCorrection">
                <anchor moveWithCells="1" sizeWithCells="1">
                  <from>
                    <xdr:col>12</xdr:col>
                    <xdr:colOff>38100</xdr:colOff>
                    <xdr:row>6</xdr:row>
                    <xdr:rowOff>57150</xdr:rowOff>
                  </from>
                  <to>
                    <xdr:col>12</xdr:col>
                    <xdr:colOff>800100</xdr:colOff>
                    <xdr:row>6</xdr:row>
                    <xdr:rowOff>266700</xdr:rowOff>
                  </to>
                </anchor>
              </controlPr>
            </control>
          </mc:Choice>
        </mc:AlternateContent>
        <mc:AlternateContent xmlns:mc="http://schemas.openxmlformats.org/markup-compatibility/2006">
          <mc:Choice Requires="x14">
            <control shapeId="1036" r:id="rId11" name="Button 12">
              <controlPr defaultSize="0" print="0" autoFill="0" autoPict="0" macro="[0]!TrierProgInt">
                <anchor moveWithCells="1" sizeWithCells="1">
                  <from>
                    <xdr:col>10</xdr:col>
                    <xdr:colOff>38100</xdr:colOff>
                    <xdr:row>6</xdr:row>
                    <xdr:rowOff>57150</xdr:rowOff>
                  </from>
                  <to>
                    <xdr:col>10</xdr:col>
                    <xdr:colOff>400050</xdr:colOff>
                    <xdr:row>6</xdr:row>
                    <xdr:rowOff>266700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B38"/>
  <sheetViews>
    <sheetView topLeftCell="A25" workbookViewId="0"/>
  </sheetViews>
  <sheetFormatPr baseColWidth="10" defaultRowHeight="12.75" x14ac:dyDescent="0.2"/>
  <cols>
    <col min="1" max="1" width="4.7109375" customWidth="1"/>
  </cols>
  <sheetData>
    <row r="1" spans="1:2" ht="15.75" x14ac:dyDescent="0.25">
      <c r="A1" s="24" t="s">
        <v>16</v>
      </c>
    </row>
    <row r="3" spans="1:2" x14ac:dyDescent="0.2">
      <c r="A3" s="26" t="s">
        <v>17</v>
      </c>
      <c r="B3" s="26" t="s">
        <v>38</v>
      </c>
    </row>
    <row r="4" spans="1:2" x14ac:dyDescent="0.2">
      <c r="A4" s="26"/>
      <c r="B4" s="26" t="s">
        <v>41</v>
      </c>
    </row>
    <row r="5" spans="1:2" x14ac:dyDescent="0.2">
      <c r="A5" s="26"/>
      <c r="B5" s="26" t="s">
        <v>42</v>
      </c>
    </row>
    <row r="6" spans="1:2" x14ac:dyDescent="0.2">
      <c r="A6" s="26"/>
      <c r="B6" s="26" t="s">
        <v>39</v>
      </c>
    </row>
    <row r="7" spans="1:2" x14ac:dyDescent="0.2">
      <c r="A7" s="26"/>
      <c r="B7" s="26" t="s">
        <v>40</v>
      </c>
    </row>
    <row r="9" spans="1:2" x14ac:dyDescent="0.2">
      <c r="A9" s="26" t="s">
        <v>18</v>
      </c>
      <c r="B9" s="26" t="s">
        <v>36</v>
      </c>
    </row>
    <row r="10" spans="1:2" x14ac:dyDescent="0.2">
      <c r="A10" s="26"/>
      <c r="B10" s="26" t="s">
        <v>57</v>
      </c>
    </row>
    <row r="11" spans="1:2" x14ac:dyDescent="0.2">
      <c r="A11" s="26"/>
      <c r="B11" s="43" t="s">
        <v>58</v>
      </c>
    </row>
    <row r="12" spans="1:2" x14ac:dyDescent="0.2">
      <c r="A12" s="26"/>
      <c r="B12" s="43" t="s">
        <v>59</v>
      </c>
    </row>
    <row r="13" spans="1:2" x14ac:dyDescent="0.2">
      <c r="A13" s="26"/>
      <c r="B13" s="26" t="s">
        <v>37</v>
      </c>
    </row>
    <row r="14" spans="1:2" x14ac:dyDescent="0.2">
      <c r="A14" s="26"/>
      <c r="B14" s="26" t="s">
        <v>44</v>
      </c>
    </row>
    <row r="15" spans="1:2" x14ac:dyDescent="0.2">
      <c r="A15" s="26"/>
      <c r="B15" s="26" t="s">
        <v>26</v>
      </c>
    </row>
    <row r="16" spans="1:2" x14ac:dyDescent="0.2">
      <c r="A16" s="26"/>
      <c r="B16" s="26" t="s">
        <v>43</v>
      </c>
    </row>
    <row r="17" spans="1:2" x14ac:dyDescent="0.2">
      <c r="A17" s="26"/>
      <c r="B17" s="26"/>
    </row>
    <row r="18" spans="1:2" x14ac:dyDescent="0.2">
      <c r="A18" s="26" t="s">
        <v>19</v>
      </c>
      <c r="B18" s="26" t="s">
        <v>21</v>
      </c>
    </row>
    <row r="19" spans="1:2" x14ac:dyDescent="0.2">
      <c r="A19" s="26"/>
      <c r="B19" s="26" t="s">
        <v>45</v>
      </c>
    </row>
    <row r="20" spans="1:2" x14ac:dyDescent="0.2">
      <c r="A20" s="26"/>
      <c r="B20" s="26" t="s">
        <v>22</v>
      </c>
    </row>
    <row r="21" spans="1:2" x14ac:dyDescent="0.2">
      <c r="A21" s="26"/>
      <c r="B21" s="26"/>
    </row>
    <row r="22" spans="1:2" x14ac:dyDescent="0.2">
      <c r="A22" s="26" t="s">
        <v>24</v>
      </c>
      <c r="B22" s="26" t="s">
        <v>20</v>
      </c>
    </row>
    <row r="23" spans="1:2" x14ac:dyDescent="0.2">
      <c r="B23" s="26" t="s">
        <v>46</v>
      </c>
    </row>
    <row r="24" spans="1:2" x14ac:dyDescent="0.2">
      <c r="B24" s="26" t="s">
        <v>47</v>
      </c>
    </row>
    <row r="25" spans="1:2" x14ac:dyDescent="0.2">
      <c r="B25" s="26" t="s">
        <v>25</v>
      </c>
    </row>
    <row r="26" spans="1:2" x14ac:dyDescent="0.2">
      <c r="B26" s="26" t="s">
        <v>48</v>
      </c>
    </row>
    <row r="27" spans="1:2" x14ac:dyDescent="0.2">
      <c r="B27" s="26" t="s">
        <v>49</v>
      </c>
    </row>
    <row r="28" spans="1:2" x14ac:dyDescent="0.2">
      <c r="B28" s="26" t="s">
        <v>56</v>
      </c>
    </row>
    <row r="29" spans="1:2" x14ac:dyDescent="0.2">
      <c r="B29" s="26" t="s">
        <v>54</v>
      </c>
    </row>
    <row r="30" spans="1:2" x14ac:dyDescent="0.2">
      <c r="B30" s="26" t="s">
        <v>55</v>
      </c>
    </row>
    <row r="31" spans="1:2" x14ac:dyDescent="0.2">
      <c r="B31" s="26" t="s">
        <v>27</v>
      </c>
    </row>
    <row r="32" spans="1:2" x14ac:dyDescent="0.2">
      <c r="B32" s="26" t="s">
        <v>23</v>
      </c>
    </row>
    <row r="34" spans="1:2" x14ac:dyDescent="0.2">
      <c r="A34" s="26" t="s">
        <v>31</v>
      </c>
      <c r="B34" s="26" t="s">
        <v>28</v>
      </c>
    </row>
    <row r="35" spans="1:2" x14ac:dyDescent="0.2">
      <c r="A35" s="26"/>
      <c r="B35" s="26" t="s">
        <v>50</v>
      </c>
    </row>
    <row r="36" spans="1:2" x14ac:dyDescent="0.2">
      <c r="B36" s="26" t="s">
        <v>51</v>
      </c>
    </row>
    <row r="37" spans="1:2" x14ac:dyDescent="0.2">
      <c r="B37" s="26" t="s">
        <v>52</v>
      </c>
    </row>
    <row r="38" spans="1:2" x14ac:dyDescent="0.2">
      <c r="B38" t="s">
        <v>53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3</vt:i4>
      </vt:variant>
    </vt:vector>
  </HeadingPairs>
  <TitlesOfParts>
    <vt:vector size="5" baseType="lpstr">
      <vt:lpstr>Cas</vt:lpstr>
      <vt:lpstr>Instructions</vt:lpstr>
      <vt:lpstr>Date_correction</vt:lpstr>
      <vt:lpstr>Date_test</vt:lpstr>
      <vt:lpstr>Debut_effacer</vt:lpstr>
    </vt:vector>
  </TitlesOfParts>
  <Company>Vertisoft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clagace</dc:creator>
  <cp:lastModifiedBy>Samuel</cp:lastModifiedBy>
  <cp:lastPrinted>2009-03-21T16:40:21Z</cp:lastPrinted>
  <dcterms:created xsi:type="dcterms:W3CDTF">2008-03-13T20:04:11Z</dcterms:created>
  <dcterms:modified xsi:type="dcterms:W3CDTF">2017-01-31T14:18:17Z</dcterms:modified>
</cp:coreProperties>
</file>