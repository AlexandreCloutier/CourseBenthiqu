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Program Files (x86)\EasyPHP-Devserver-16.1\eds-www\CourseBenthique\"/>
    </mc:Choice>
  </mc:AlternateContent>
  <bookViews>
    <workbookView xWindow="0" yWindow="0" windowWidth="18870" windowHeight="7815"/>
  </bookViews>
  <sheets>
    <sheet name="Cas" sheetId="1" r:id="rId1"/>
    <sheet name="Instructions" sheetId="2" r:id="rId2"/>
  </sheets>
  <definedNames>
    <definedName name="Date_correction">Cas!$M$7</definedName>
    <definedName name="Date_test">Cas!$H$7</definedName>
    <definedName name="Debut_effacer">Cas!$F$7</definedName>
  </definedNames>
  <calcPr calcId="152511"/>
</workbook>
</file>

<file path=xl/calcChain.xml><?xml version="1.0" encoding="utf-8"?>
<calcChain xmlns="http://schemas.openxmlformats.org/spreadsheetml/2006/main">
  <c r="G1" i="1" l="1"/>
  <c r="G2" i="1" l="1"/>
  <c r="G3" i="1"/>
  <c r="G4" i="1" s="1"/>
</calcChain>
</file>

<file path=xl/sharedStrings.xml><?xml version="1.0" encoding="utf-8"?>
<sst xmlns="http://schemas.openxmlformats.org/spreadsheetml/2006/main" count="977" uniqueCount="472">
  <si>
    <t>Score :</t>
  </si>
  <si>
    <t>X dev</t>
  </si>
  <si>
    <t>Corrections initiales :</t>
  </si>
  <si>
    <t>Reste à corriger :</t>
  </si>
  <si>
    <t>Impr.
écran
?</t>
  </si>
  <si>
    <t>Corr. par</t>
  </si>
  <si>
    <t>Nom-Commentaires</t>
  </si>
  <si>
    <t>Date correction</t>
  </si>
  <si>
    <t>Résultat attendu</t>
  </si>
  <si>
    <t>Testé par</t>
  </si>
  <si>
    <t>Cas d'essai</t>
  </si>
  <si>
    <t>Date test</t>
  </si>
  <si>
    <t>FIN</t>
  </si>
  <si>
    <t>Tests fonctionnels</t>
  </si>
  <si>
    <r>
      <t xml:space="preserve">Gravité 
</t>
    </r>
    <r>
      <rPr>
        <sz val="8"/>
        <color indexed="9"/>
        <rFont val="Arial"/>
        <family val="2"/>
      </rPr>
      <t>1-essent.
2-import.
3-utile</t>
    </r>
  </si>
  <si>
    <r>
      <rPr>
        <sz val="8"/>
        <color theme="0"/>
        <rFont val="Arial"/>
        <family val="2"/>
      </rPr>
      <t>Chq ligne doit avoir un no pour le tri</t>
    </r>
    <r>
      <rPr>
        <b/>
        <sz val="10"/>
        <color theme="0"/>
        <rFont val="Arial"/>
        <family val="2"/>
      </rPr>
      <t xml:space="preserve">
# cas</t>
    </r>
  </si>
  <si>
    <t>Projet</t>
  </si>
  <si>
    <t>Utilisation du chiffrier de tests fonctionnels</t>
  </si>
  <si>
    <t>1.</t>
  </si>
  <si>
    <t>2.</t>
  </si>
  <si>
    <t>3.</t>
  </si>
  <si>
    <t xml:space="preserve">Quand le développement est complété, le responsable de la qualité reprend le chiffrier et refait les tests. </t>
  </si>
  <si>
    <t>Les développeurs partagent un seul et même fichier.</t>
  </si>
  <si>
    <t>Au besoin, ils ajoutent des cas d'essais.</t>
  </si>
  <si>
    <t>Il remet ensuite le chiffrier aux développeurs.</t>
  </si>
  <si>
    <t>4.</t>
  </si>
  <si>
    <t>Il peut entrer un niveau de gravité pour permettre aux développeurs de prioriser les corrections qu'ils effectueront.</t>
  </si>
  <si>
    <t>Il peut entrer un code pour identifier le métier touché par le cas d'essai (ex : intégrateur ou programmeur). Cette colonne peut également servir à identifier une équipe de travail.</t>
  </si>
  <si>
    <t>Le nombre de cas d'essais réussis par rapport au nombre de cas d'essais total donne le score en haut du chiffrier.</t>
  </si>
  <si>
    <t>Le développeur qui doit effectuer des corrections peut trier le chiffrier selon son métier ou selon la priorité pour retrouver plus rapidement ce qu'il doit faire.</t>
  </si>
  <si>
    <r>
      <t xml:space="preserve">Métier
</t>
    </r>
    <r>
      <rPr>
        <sz val="8"/>
        <color indexed="9"/>
        <rFont val="Arial"/>
        <family val="2"/>
      </rPr>
      <t>p-prog
i-intégr
g-graph</t>
    </r>
  </si>
  <si>
    <r>
      <t xml:space="preserve">Version à tester
</t>
    </r>
    <r>
      <rPr>
        <sz val="8"/>
        <color theme="0"/>
        <rFont val="Arial"/>
        <family val="2"/>
      </rPr>
      <t>1-en dév. (local)
2-en dév. (en ligne)
3-en prod.</t>
    </r>
  </si>
  <si>
    <t>5.</t>
  </si>
  <si>
    <t>admin :</t>
  </si>
  <si>
    <t>normal :</t>
  </si>
  <si>
    <t>code d'usager</t>
  </si>
  <si>
    <t>mot de passe</t>
  </si>
  <si>
    <t>URL en production</t>
  </si>
  <si>
    <t>URL en développement</t>
  </si>
  <si>
    <t>URL dév. :</t>
  </si>
  <si>
    <t>URL prod. :</t>
  </si>
  <si>
    <t xml:space="preserve">Avant le début du développement, l'analyste remplit les colonnes « Cas d'essai » et « Résultat attendu ». </t>
  </si>
  <si>
    <t>Il peut arriver que certains cas d'essais ne s'appliquent qu'à une version du site.  À ce moment, il inscrit le code correspondant dans la colonne « Version à tester ».</t>
  </si>
  <si>
    <t xml:space="preserve">Les cases colorées dans l'entête de la feuille « Cas » doit être correctement remplies : </t>
  </si>
  <si>
    <t xml:space="preserve">code d'usager et mot de passe admin (en dév.), </t>
  </si>
  <si>
    <t>code d'usager et mot de passe d'un usager normal (en dév.).</t>
  </si>
  <si>
    <t xml:space="preserve">nom du projet, </t>
  </si>
  <si>
    <t xml:space="preserve">URL du site en développement et en production, </t>
  </si>
  <si>
    <t>Il remet ensuite le fichier aux développeurs.</t>
  </si>
  <si>
    <t>Si la grille comprend déjà des cas d'essais et que certains ne s'appliquent pas au projet en cours, il entre « na » dans la colonne « Résultat obtenu ». La ligne devient grisée et n'est pas prise en compte dans les calculs du score.</t>
  </si>
  <si>
    <t xml:space="preserve">Pour chaque test fait pendant le développement, chacun entre un X dans la colonne « X dev ». </t>
  </si>
  <si>
    <t>Dans la colonne "Résultat obtenu", il inscrit « ok » si le test a réussi.</t>
  </si>
  <si>
    <t>Si le test a échoué, il décrit le problème dans la colonne « Résultat obtenu ».</t>
  </si>
  <si>
    <t>Il peut également ajouter des impressions d'écran dans un autre onglet du chiffrier et y référer à l'aide d'un code à son choix entré dans la colonne « Imp. Ecran? ».</t>
  </si>
  <si>
    <t>Il entre ensuite ses initiales dans la colonne « Testé par ». Les cas d'essais qui ne sont pas marqués par « ok » ni par « na » seront mis en couleur.</t>
  </si>
  <si>
    <t>Il effectue les corrections et entre au besoin ses commentaires dans la colonne « Nom-commentaire ». Il ne modifie pas la colonne « Résultat obtenu ».</t>
  </si>
  <si>
    <t>Il entre ensuite ses initiales dans la colonne « Corr. Par ». Les lignes en couleur redeviennent normales.</t>
  </si>
  <si>
    <t xml:space="preserve">Quand toutes ses corrections de la journée sont complétées, il peut cliquer sur le bouton « Date du jour » au-dessus de la colonne « Date correction ». </t>
  </si>
  <si>
    <t>La date du jour sera entrée sur chaque ligne dont la date de correction est vide et qui comporte des initiales de correcteur.</t>
  </si>
  <si>
    <t>La date du jour sera entrée sur chaque ligne dont la date de test est vide et qui comporte des initiales de testeur.</t>
  </si>
  <si>
    <t>Une fois tous les tests complétés, il peut cliquer sur le bouton « Cacher ok » pour ne montrer que les cas d'essais en problème et les cas d'essais pour lesquels un test n'aurait pas encore été fait.</t>
  </si>
  <si>
    <t xml:space="preserve">Quand tous ses tests d'une journée sont complétés, il peut cliquer sur le bouton « Date du jour » au-dessus de la colonne « Date test ». </t>
  </si>
  <si>
    <t>Le chiffrier prévoit la renumérotation dles cas d'essais à la suite d'ajout de lignes grâce à la fonctionnalité de série de données :</t>
  </si>
  <si>
    <t xml:space="preserve">Prenez en bloc les deux premières cellules de la colonne A d'une section (ex : 070.010 et 070.020) puis faites glisser le coin inférieur droit jusqu'à la dernière ligne de la section, toujours dans la colonne A. </t>
  </si>
  <si>
    <t xml:space="preserve">Les numéros seront automatiquement réajustés. </t>
  </si>
  <si>
    <t>na</t>
  </si>
  <si>
    <t>Nombre de cas d'essais :</t>
  </si>
  <si>
    <t>Testeur :</t>
  </si>
  <si>
    <t>Écran d'accueil</t>
  </si>
  <si>
    <t>Présence des boutons</t>
  </si>
  <si>
    <t>Apparences des boutons</t>
  </si>
  <si>
    <t>hover des boutons</t>
  </si>
  <si>
    <t>Clique bouton charger une partie</t>
  </si>
  <si>
    <t>Clique bouton crédits</t>
  </si>
  <si>
    <t>Apparences fond</t>
  </si>
  <si>
    <t>Le fond utilise la bonne couleur de bleu.</t>
  </si>
  <si>
    <t>Appuie touche tab</t>
  </si>
  <si>
    <t>Police</t>
  </si>
  <si>
    <t>Éléments bien centrer</t>
  </si>
  <si>
    <t>Présence dropdown</t>
  </si>
  <si>
    <t>options nombre de joueur</t>
  </si>
  <si>
    <t>options difficultés de partie</t>
  </si>
  <si>
    <t>Clique bouton retour</t>
  </si>
  <si>
    <t>Clique bouton débuter SI info pas entrer.</t>
  </si>
  <si>
    <t>Clique bouton débuter SI info entrer.</t>
  </si>
  <si>
    <t>L'écran du jeu s'ouvrira.</t>
  </si>
  <si>
    <t>Choix nombre joueur</t>
  </si>
  <si>
    <t>Passer de 4 à 3 joueurs</t>
  </si>
  <si>
    <t>Le nombre de textbox afficher change correctement.</t>
  </si>
  <si>
    <t>Passer de 4 à 2 joueurs</t>
  </si>
  <si>
    <t>Passer de 3 à 2 joueurs</t>
  </si>
  <si>
    <t>Passer de 0 à 2 joueurs.</t>
  </si>
  <si>
    <t>Passer de 0 à 3 joueurs.</t>
  </si>
  <si>
    <t>Passer de 0 à 4 joueurs.</t>
  </si>
  <si>
    <t>Passer de 2 à 3 joueurs.</t>
  </si>
  <si>
    <t>Passer de 2 à 4 joueurs.</t>
  </si>
  <si>
    <t>Passer de 3 à 4 joueurs.</t>
  </si>
  <si>
    <t>Pas possible d'entrer de lettre dans âge.</t>
  </si>
  <si>
    <t>Il n'est pas possible d'entrer des lettres dans les textbox d'âge.</t>
  </si>
  <si>
    <t>Pop-up</t>
  </si>
  <si>
    <t>Chaque pop-up est beau, centre, et sans barre de scroll.</t>
  </si>
  <si>
    <t>Présence du 'X' pour enlever le pop-up</t>
  </si>
  <si>
    <t>Un 'X' est présent pour supprimer le pop-up.</t>
  </si>
  <si>
    <t>Passer le tour</t>
  </si>
  <si>
    <t>Clique sur passe le tour.</t>
  </si>
  <si>
    <t>pivotement</t>
  </si>
  <si>
    <t>Les cartes sur le plateau</t>
  </si>
  <si>
    <t>Plus de 6 cartes dans la main</t>
  </si>
  <si>
    <t>Plus de 5 cartes dans la main</t>
  </si>
  <si>
    <t>Plus de 4 cartes dans la main</t>
  </si>
  <si>
    <t>minimum 4 cartes</t>
  </si>
  <si>
    <t>Écran de jeu principal</t>
  </si>
  <si>
    <t>Présence des boutons passer le tour, options, règles.</t>
  </si>
  <si>
    <t>Nom à droite</t>
  </si>
  <si>
    <t>Plateau de jeu bien afficher</t>
  </si>
  <si>
    <t>Main à gauche</t>
  </si>
  <si>
    <t>Bouton désactiver</t>
  </si>
  <si>
    <t>L'apparence des différents boutons change lorsqu'il sont désactiver, exemple: lors du clique sur passer le tour, le bouton est désactiver quelques secondes.</t>
  </si>
  <si>
    <t>Drag une carte habitats</t>
  </si>
  <si>
    <t>drag dans une zone</t>
  </si>
  <si>
    <t>drag dans le fond bleu</t>
  </si>
  <si>
    <t>drag sur le plateau</t>
  </si>
  <si>
    <t>drag dans la zone de droite</t>
  </si>
  <si>
    <t>drag et relacher dans la main</t>
  </si>
  <si>
    <t>hover avec une carte habitats sur nos zones</t>
  </si>
  <si>
    <t>Animation</t>
  </si>
  <si>
    <t>Jouer sans les points</t>
  </si>
  <si>
    <t>Jouer avec les points</t>
  </si>
  <si>
    <t>Pop-up si nous manquons de points de ressources.</t>
  </si>
  <si>
    <t>Hover</t>
  </si>
  <si>
    <t>4 joueurs</t>
  </si>
  <si>
    <t>Le drag n'a pas de problèmes à 4 joueurs</t>
  </si>
  <si>
    <t>3 joueurs</t>
  </si>
  <si>
    <t>Le drag n'a pas de problèmes à 3 joueurs</t>
  </si>
  <si>
    <t>2 joueurs</t>
  </si>
  <si>
    <t>Le drag n'a pas de problèmes à 2 joueurs</t>
  </si>
  <si>
    <t>maximum 8 habitats</t>
  </si>
  <si>
    <t>Il n'est pas possible d'avoir plus de 8 habitats sur son jeu.</t>
  </si>
  <si>
    <t>Calcul de points</t>
  </si>
  <si>
    <t>Curseurs</t>
  </si>
  <si>
    <t>Hover sur un élément cliquable</t>
  </si>
  <si>
    <t>Hover sur un élément draggable</t>
  </si>
  <si>
    <t>Un hover sur un élément qui est draggable change le curseur pour mettre une main qui montre que l'élément peut se faire bouger.</t>
  </si>
  <si>
    <t>Hover sur un textbox</t>
  </si>
  <si>
    <t>Un hover sur un textbox change le curseur pour démontrer qu'il est possible d'écrire.</t>
  </si>
  <si>
    <t>Couts en ressources</t>
  </si>
  <si>
    <t>Couts en ressources correctement enlever</t>
  </si>
  <si>
    <t>condition</t>
  </si>
  <si>
    <t>Macroinvertébrés prédateur</t>
  </si>
  <si>
    <t>Manger prédateur</t>
  </si>
  <si>
    <t>highlight</t>
  </si>
  <si>
    <t>Zone cliquable</t>
  </si>
  <si>
    <t>Clique sur une carte non-macro</t>
  </si>
  <si>
    <t>drag spéciale</t>
  </si>
  <si>
    <t>Jouer une carte zonage</t>
  </si>
  <si>
    <t>La carte zonage est jouable que sur le plateau</t>
  </si>
  <si>
    <t>pop-up</t>
  </si>
  <si>
    <t>Nos habitats sont highlight</t>
  </si>
  <si>
    <t>Un 2e pop-up s'affiche  pour dire de cliquer sur la 2e carte habitats.</t>
  </si>
  <si>
    <t>Clique sur une carte non-habitats</t>
  </si>
  <si>
    <t>Cas 1</t>
  </si>
  <si>
    <t>Cas 2</t>
  </si>
  <si>
    <t>Cas 3</t>
  </si>
  <si>
    <t>Cas 4</t>
  </si>
  <si>
    <t>Échanger 2 cartes et les 2 paquets sont empiler fonctionne, les cartes sont échanger et placer dans un autre emplacement vide.</t>
  </si>
  <si>
    <t xml:space="preserve">Cas 5 </t>
  </si>
  <si>
    <t xml:space="preserve">Cas 6 </t>
  </si>
  <si>
    <t>Grossir la main</t>
  </si>
  <si>
    <t>Pris sur le fait</t>
  </si>
  <si>
    <t>La carte pris sur le fait est utilisable seulement lorsque quelqu'un joue une perturbation, un pop-up demande si le joueur désire utiliser sa carte pris sur le fait.</t>
  </si>
  <si>
    <t>Utilisation de la carte</t>
  </si>
  <si>
    <t>pop-up pris sur le fait</t>
  </si>
  <si>
    <t>Aucun joueur</t>
  </si>
  <si>
    <t>Jouer sur plateau</t>
  </si>
  <si>
    <t>La carte rétention se joue seulement sur le plateau.</t>
  </si>
  <si>
    <t>Jouer sans avoir de points ressources.</t>
  </si>
  <si>
    <t>Clique sur notre prédateur</t>
  </si>
  <si>
    <t>Pas possible de cliquer ailleurs</t>
  </si>
  <si>
    <t>Cliquer sur une carte non prédateur</t>
  </si>
  <si>
    <t>Jouer carte dérivation</t>
  </si>
  <si>
    <t>La carte dérivation se joue seulement sur le plateau.</t>
  </si>
  <si>
    <t>Échange de main</t>
  </si>
  <si>
    <t>L'échange de main s'effectue correctement</t>
  </si>
  <si>
    <t>mise à la décharge</t>
  </si>
  <si>
    <t>Lorsque nous jouons dérivation, la carte est ensuite mise à la décharge.</t>
  </si>
  <si>
    <t>Jouer émergence</t>
  </si>
  <si>
    <t>La carte émergence se joue seulement sur le plateau.</t>
  </si>
  <si>
    <t>Condition émergence</t>
  </si>
  <si>
    <t>type afficher</t>
  </si>
  <si>
    <t>Retour dans les mains</t>
  </si>
  <si>
    <t>La carte se joue seulement sur le plateau</t>
  </si>
  <si>
    <t>La carte respecte les conditions</t>
  </si>
  <si>
    <t>drag bande riveraine</t>
  </si>
  <si>
    <t>Points donner par bande riveraine</t>
  </si>
  <si>
    <t>drag action</t>
  </si>
  <si>
    <t>Jouable sur le plateau</t>
  </si>
  <si>
    <t>condition corvée de nettoyage</t>
  </si>
  <si>
    <t>La carte ne se joue pas s'il n'y a pas de déchets en jeu.</t>
  </si>
  <si>
    <t>effets</t>
  </si>
  <si>
    <t>Condition aménagement</t>
  </si>
  <si>
    <t>Un pop-up s'affiche donnant le choix de ce que nous voulons que la carte fasse.</t>
  </si>
  <si>
    <t>condition naturalisation</t>
  </si>
  <si>
    <t>la bande riveraine peut se jouer</t>
  </si>
  <si>
    <t>drag perturbation</t>
  </si>
  <si>
    <t>Jouer érosion</t>
  </si>
  <si>
    <t>condition érosion</t>
  </si>
  <si>
    <t>effet d'enlever la bande riveraine</t>
  </si>
  <si>
    <t>effet de transformer en sable quand empiler</t>
  </si>
  <si>
    <t xml:space="preserve"> </t>
  </si>
  <si>
    <t>Lorsque nous transformons en sable et que les cartes sont empiler, nous devons seulement détruire la dernière et mettre le sable sur le prochain emplacement libre.</t>
  </si>
  <si>
    <t>effet de transformer en sable</t>
  </si>
  <si>
    <t>défausse</t>
  </si>
  <si>
    <t>Jouer pollution organique</t>
  </si>
  <si>
    <t>Pollution organique se joue directement sur le plateau peu importe la position.</t>
  </si>
  <si>
    <t>Jouer artificialisation</t>
  </si>
  <si>
    <t>Artificialisation se joue seulement sur une bande riveraine.</t>
  </si>
  <si>
    <t>Jouer Passage de tout-terrain</t>
  </si>
  <si>
    <t>Effets perturber habitats</t>
  </si>
  <si>
    <t>Les habitats qui se font jouer une carte perturbation deviennent perturber et il n'est plus possible de les utiliser pour les conditions des macro-invertébrés.</t>
  </si>
  <si>
    <t>Effets perturber bande riveraine.</t>
  </si>
  <si>
    <t>Sauvegarder</t>
  </si>
  <si>
    <t>Sauvegarder sans titre</t>
  </si>
  <si>
    <t>Il n'est pas possible de sauvegarder su nous n'entrons pas de titre.</t>
  </si>
  <si>
    <t>Fichier se télécharge bien</t>
  </si>
  <si>
    <t>Charger</t>
  </si>
  <si>
    <t>Charger un fichier qui n'est pas .jcb</t>
  </si>
  <si>
    <t>Il n'est pas possible de télécharger un fichier qui n'est pas de type fichier.jcb</t>
  </si>
  <si>
    <t xml:space="preserve">Continuer une partie </t>
  </si>
  <si>
    <t>Désempilage</t>
  </si>
  <si>
    <t>Déchets/artificialisation/passage de tout-terrain sur des cartes empilées</t>
  </si>
  <si>
    <t>150.010</t>
  </si>
  <si>
    <t>À la fin de chaque tour</t>
  </si>
  <si>
    <t>Lorsqu'on annule une perturbation</t>
  </si>
  <si>
    <t>Exemplaire</t>
  </si>
  <si>
    <t>Présence paquet carte</t>
  </si>
  <si>
    <t>Tommy Vigneault et Samuel Reid</t>
  </si>
  <si>
    <t>x</t>
  </si>
  <si>
    <t>Tests ajoutés par les testeurs</t>
  </si>
  <si>
    <t>*AJOUTÉ* Navigateurs</t>
  </si>
  <si>
    <t>Le site fonctionne sur tous les navigateurs</t>
  </si>
  <si>
    <t>Problèmes avec le navigateur Firefox</t>
  </si>
  <si>
    <t>TV</t>
  </si>
  <si>
    <t>tv</t>
  </si>
  <si>
    <t>Elle bug lorsqu'on la dépose sur une carte et revient dans la main après avoir cliqué ailleurs dans l'écran</t>
  </si>
  <si>
    <t xml:space="preserve">*AJOUTÉ* </t>
  </si>
  <si>
    <t>ok, mais dans la fenêtre ou je dois faire mon choix, aucun choix ne s'affiche et lorsque je clique sur confirmer, j'ai le choix des différentes cartes d'intervention.</t>
  </si>
  <si>
    <t>Ne peut pas tester, car la carte déchet ne fonctionne pas.</t>
  </si>
  <si>
    <t>Le fichier de tests fonctionnels est exempt de faute</t>
  </si>
  <si>
    <t>Beaucoup de fautes de français</t>
  </si>
  <si>
    <t>sr</t>
  </si>
  <si>
    <t>Perturbation ne marche pas, donc ne peut pas tester</t>
  </si>
  <si>
    <t>L'apparence ne change pas, mais il est bien désactivé</t>
  </si>
  <si>
    <t>non les points ne sont pas enlevés lorsqu'on joue certaines cartes actions</t>
  </si>
  <si>
    <t>À certains endroits, le curseur ne change pas (par exemple: Lorsqu'on mange un invertébré)</t>
  </si>
  <si>
    <t xml:space="preserve">Le nombre de cartes à défausser est clair </t>
  </si>
  <si>
    <t>Ce n'est pas toujours clair</t>
  </si>
  <si>
    <t>Ne fonctionne pas (Uncaught TypeError: Cannot read property '8' of undefined(…) )</t>
  </si>
  <si>
    <t>Pas de deuxième pop-up</t>
  </si>
  <si>
    <t>Ne fonctionne pas</t>
  </si>
  <si>
    <t>Ne peut pas sélectionner cette option…</t>
  </si>
  <si>
    <t>Ne peut pas tester…</t>
  </si>
  <si>
    <t>sb</t>
  </si>
  <si>
    <t>ac</t>
  </si>
  <si>
    <t>Fonctionnais parfaitement sur chrome et edge.</t>
  </si>
  <si>
    <t>Voulu</t>
  </si>
  <si>
    <t>voulu</t>
  </si>
  <si>
    <t>Ajout fin</t>
  </si>
  <si>
    <r>
      <t xml:space="preserve">Résultat obtenu
</t>
    </r>
    <r>
      <rPr>
        <sz val="9"/>
        <color indexed="9"/>
        <rFont val="Arial"/>
        <family val="2"/>
      </rPr>
      <t>("OK", "na" pour non applicable ou description du problème)</t>
    </r>
  </si>
  <si>
    <t>OK</t>
  </si>
  <si>
    <t>Boutons nouvelle partie, charger une partie, options, crédits sont présents.</t>
  </si>
  <si>
    <t>Les boutons ont la même apparence que les boutons sur leurs sites web.</t>
  </si>
  <si>
    <t>Hover des boutons</t>
  </si>
  <si>
    <t>Les boutons changent de style lorsqu'on passer au-dessus d'eux pour avoir le même style que sur leurs pages web.</t>
  </si>
  <si>
    <t>Lorsqu'on drag une carte habitat, nos zones deviennent highlights quand on a une carte habitats au-dessus d'eux.</t>
  </si>
  <si>
    <t>Clique sur le  bouton nouvelle partie</t>
  </si>
  <si>
    <t>Le clic sur le bouton nous emmène à la page de création de parties.</t>
  </si>
  <si>
    <t>Le clic sur le bouton ouvre un explorateur pour choisir le fichier de sauvegarde voulu.</t>
  </si>
  <si>
    <t>Le clic sur le bouton crédits ouvre la page avec tous les crédits du jeu.</t>
  </si>
  <si>
    <t>L'apparence du logo</t>
  </si>
  <si>
    <t>Le logo est bien centré sur la page.</t>
  </si>
  <si>
    <t>Lorsqu'on appuie sur la touche TAB, les boutons changent de focus selon leurs ordres d'affichage.</t>
  </si>
  <si>
    <t>La police d'écriture est simple comme Time new roman, arial, etc.</t>
  </si>
  <si>
    <t>La police d'écriture est simple comme Time New Roman, arial, etc.</t>
  </si>
  <si>
    <t>Écran création de parties</t>
  </si>
  <si>
    <t>boutons débuter et retour sont présents</t>
  </si>
  <si>
    <t>Les divers éléments sont bien centrés.</t>
  </si>
  <si>
    <t>Les dropdowns du nombre de joueur et de difficultés de partie sont présents</t>
  </si>
  <si>
    <t>Lors d'un clic sur le dropdown, nous pouvons sélectionner 2,3 ou 4 joueurs.</t>
  </si>
  <si>
    <t>Lors d'un clic sur le dropdown, nous pouvons sélectionner les 3 difficultés, facile, moyen et difficile.</t>
  </si>
  <si>
    <t>Lors d'un clic sur le bouton de retour, nous retournons à la page d'accueil.</t>
  </si>
  <si>
    <t>Un message rouge s'affiche pour décrire ce que nous avons oublié comme information.</t>
  </si>
  <si>
    <t>Lorsqu'on choisit 2,3 ou 4 joueurs, le bon nombre de textbox pour les nom et âge s'affiche.</t>
  </si>
  <si>
    <t>Passer de 4 à 0 joueur</t>
  </si>
  <si>
    <t>Passer de 3 à 0 joueur</t>
  </si>
  <si>
    <t>Passer de 2 à 0 joueur</t>
  </si>
  <si>
    <t>Ne fonctionne pas, mon âge est ABCDE</t>
  </si>
  <si>
    <t>Chaque pop-up est bien affiché.</t>
  </si>
  <si>
    <t>Français</t>
  </si>
  <si>
    <t>Le pop-up est écrit en français et sans fautes.</t>
  </si>
  <si>
    <t>La police est simple comme Time New Roman, arial, etc.</t>
  </si>
  <si>
    <t>Le clique pour passer le tour change les points ressources et pivote le plateau. La main du joueur est aussi affichée.</t>
  </si>
  <si>
    <t>Le tableau pivote différemment dépendant du nombre de joueurs et leurs mains sont bien affichées.</t>
  </si>
  <si>
    <t>Pause lors du clic sur Joueur suivant.</t>
  </si>
  <si>
    <t>Lorsqu'on clique sur le bouton passer le tour, il y a une petite pause qui nous empêche de "spam" le clique sur le bouton de passer le tour.</t>
  </si>
  <si>
    <t>Les cartes déjà présentes restent à leurs bonnes positions lorsqu'on passe notre tour.</t>
  </si>
  <si>
    <t>Il nous est demandé de défausser les cartes pour en avoir maximum 4.</t>
  </si>
  <si>
    <t>Pas possible de défausser pour avoir moins de 4 cartes.</t>
  </si>
  <si>
    <t>L'apparence des boutons est le même que le site internet et que sur les différentes pages d'accueil.</t>
  </si>
  <si>
    <t>Le hover des boutons change l'apparence comme sur leur site web ou les différentes pages d'accueil.</t>
  </si>
  <si>
    <t>Dépendant du nombre de joueurs, les bons noms et le bon nombre d'équipe est affichés pour chaque équipe.</t>
  </si>
  <si>
    <t>Le plateau de jeu est mis au centre et est bien affiché.</t>
  </si>
  <si>
    <t>La main du jouer actif est bien affiché.</t>
  </si>
  <si>
    <t>Il est possible de prendre une carte habitats et de la mettre sur une de nos zones.</t>
  </si>
  <si>
    <t>La carte est remise dans la main à sa bonne place et elle est agrandie.</t>
  </si>
  <si>
    <t>drag sur le côté d'un ennemi</t>
  </si>
  <si>
    <t>La carte est remise dans la main à sa bonne place et elle est agrandie. Le bon pop-up est affiché.</t>
  </si>
  <si>
    <t>Lorsque la carte est draguée, il y a une animation qui la rapetisse.</t>
  </si>
  <si>
    <t>Lorsqu'on joue une carte sans avoir les points, le pop-up est affiché et la carte est réagrandie et retournée dans sa main.</t>
  </si>
  <si>
    <t>Le bon nombre de points sont enlevés et la carte est centrée dans sa position.</t>
  </si>
  <si>
    <t>empilage</t>
  </si>
  <si>
    <t>Si on joue une carte qui est déjà présente, les cartes vont automatiquement s'empiler.</t>
  </si>
  <si>
    <t>cout ressource</t>
  </si>
  <si>
    <t>Il y a un highlight qui apparaît lorsqu'on survole un emplacement ou on a le droit de mettre la carte.</t>
  </si>
  <si>
    <t>le calcul de points est bien effectué lorsque nous jouons un habitat.</t>
  </si>
  <si>
    <t>Un hover sur un élément cliquable change le curseur pour une main cliquable montrant que l'élément peut être cliqué.</t>
  </si>
  <si>
    <t>drag macro-invertébrée</t>
  </si>
  <si>
    <t>Lorsqu'on joue un macroinvertébrés, nous devons avoir le bon nombre de points ressources sinon un pop-up nous avertit.</t>
  </si>
  <si>
    <t>Lorsqu'on joue un macroinvertébrés, le nombre de points ressources est correctement enlevé.</t>
  </si>
  <si>
    <t>Le macroinvertébrés peut se jouer seulement si les conditions pour le jouer sont respectées, sinon un pop-up est affiché.</t>
  </si>
  <si>
    <t>Lorsqu'on joue un prédateur, il doit absolument y avoir un autre macroinvertébrés de taille inférieur sur le côté d'un ennemi.</t>
  </si>
  <si>
    <t>Un pop-up s'affiche nous disant que nous devons manger un macroinvertébrés de taille inférieur.</t>
  </si>
  <si>
    <t>Un highlight entoure les macroinvertébrés de taille inférieurs.</t>
  </si>
  <si>
    <t>La main est bloquée et le côté droit aussi, nous pouvons seulement cliquer sur des cartes.</t>
  </si>
  <si>
    <t>Un clic sur une carte qui n'est pas un macroinvertébrés affiche un pop-up.</t>
  </si>
  <si>
    <t>Clique sur une carte de taille supérieure</t>
  </si>
  <si>
    <t>Un clic sur une carte de taille supérieure à notre prédateur affiche un pop-up</t>
  </si>
  <si>
    <t>clic sur un macro de taille inférieure</t>
  </si>
  <si>
    <t>Tous les highlight s'en vont, la carte "manger" s'en va à la décharge et les zones de gauche et droite sont désormais utilisables.</t>
  </si>
  <si>
    <t>Parfois, lorsque plusieurs invertébrés se trouvent chez un adversaire, je suis incapable de manger un invertébré, et ce, même si sa taille est inférieure</t>
  </si>
  <si>
    <t>Le calcul de points est bien effectué après avoir joué une carte macro.</t>
  </si>
  <si>
    <t>La carte zonage affiche le premier pop-up pour dire de cliquer sur le premier habitat de notre côté.</t>
  </si>
  <si>
    <t>clique sur un habitat ennemi</t>
  </si>
  <si>
    <t>Un pop-up est affiché pour dire que nous devons d'abord cliquer sur un de nos habitats.</t>
  </si>
  <si>
    <t>Clique sur notre habitat.</t>
  </si>
  <si>
    <t>Un clic sur une carte non-habitats affiche un pop-up nous disant ce que nous devons faire.</t>
  </si>
  <si>
    <t>Highlight suite à un clic sur notre habitat</t>
  </si>
  <si>
    <t>Après avoir cliqué sur un de nos habitats, les highlight s'en vont et les habitats ennemis deviennent highlight.</t>
  </si>
  <si>
    <t>Clique sur un habitat ennemi</t>
  </si>
  <si>
    <t>Un clic sur l'habitat ennemi échange les 2 habitats.</t>
  </si>
  <si>
    <t>Durant le processus de zonage</t>
  </si>
  <si>
    <t>Fin processus de zonage</t>
  </si>
  <si>
    <t>Durant le processus de zonage, la zone de droite et la main ne sont pas utilisables.</t>
  </si>
  <si>
    <t>À la fin du processus de zonage, la zone de droite et la main sont de nouveau utilisables.</t>
  </si>
  <si>
    <t>Échanger 2 cartes qui ne sont pas empilées fonctionne</t>
  </si>
  <si>
    <t>Échanger 2 cartes, mais le paquet du joueur actif est empiler fonctionne, et la carte échanger est mis ailleurs.</t>
  </si>
  <si>
    <t>Échanger 2 cartes, mais le paquet du joueur ennemi est empiler fonctionne, et la carte échanger est mis ailleurs.</t>
  </si>
  <si>
    <t>Lorsqu'on échange une carte qu'on a déjà, la carte recu va s'empiler et elle est bien placée dans les données et dans le nombre d'exemplaires.</t>
  </si>
  <si>
    <t>Lorsqu'on échange une carte que le joueur ennemi a déjà, la carte qu'il reçoit va s'empiler d'elle-même et le nombre d'exemplaires est bien mis dans les données.</t>
  </si>
  <si>
    <t>Jouer la carte accumulation</t>
  </si>
  <si>
    <t>Jouer la carte accumulation nous fait piger 3 cartes.</t>
  </si>
  <si>
    <t>Lorsque nous pigeons les 3 cartes et que notre main est pleine, la main est grossie.</t>
  </si>
  <si>
    <t>Si le joueur décide d'utiliser la carte pris sur le fait, la carte perturbation jouée retourne directement au cimetière en plus de la carte pris sur le fait et la carte perturbation n'a aucun effet.</t>
  </si>
  <si>
    <t>LE pop-up affiche les personnes détenant la carte pris sur le fait et affiche un texte.</t>
  </si>
  <si>
    <t>Si aucun joueur n'est choisi, la carte de perturbation à bel et bien lieu.</t>
  </si>
  <si>
    <t>Jouer la cartes rétention</t>
  </si>
  <si>
    <t>Lorsque nous jouons la carte rétention, les points de ressources disponibles à la fin du tour sont gardés pour le prochain tour.</t>
  </si>
  <si>
    <t>Lorsque nous jouons rétention et que nous n’avons pas de points ressources, un pop-up est affiché et nous ne pouvons pas jouer la carte.</t>
  </si>
  <si>
    <t>La carte prédation se joue seulement si nous possédons un prédateur et que notre adversaire possède un macroinvertébrés de taille inférieur à notre prédateur.</t>
  </si>
  <si>
    <t>jouer la carte prédation</t>
  </si>
  <si>
    <t>Lorsque nous jouons la carte prédation, nos prédateurs deviennent highlight.</t>
  </si>
  <si>
    <t>Un clic sur notre prédateur enlève le highlight et rend les macro ennemies highlight.</t>
  </si>
  <si>
    <t>Durant le processus de prédation, la zone de droite et la main sont désactivées.</t>
  </si>
  <si>
    <t>Un clic sur une carte non prédateur affiche le pop-up nous disant quoi faire.</t>
  </si>
  <si>
    <t>Cliquer sur macro ennemie de taille inférieure</t>
  </si>
  <si>
    <t>Le macro ennemie est envoyée à la décharger et il disparaît du plateau.</t>
  </si>
  <si>
    <t>clic sur un macro ennemi de taille supérieure</t>
  </si>
  <si>
    <t>Un clic sur un macro de taille supérieure affiche le pop-up nous disant la taille maximum que nous pouvons manger.</t>
  </si>
  <si>
    <t>Fin processus de prédation</t>
  </si>
  <si>
    <t>Lorsque la prédation est terminée, la zone de droite et la main fonctionnent de nouveau.</t>
  </si>
  <si>
    <t>Lorsque nous jouons la carte dérivation, un pop-up est affiché pour nous demander avec quel joueur nous voulons échanger notre main.</t>
  </si>
  <si>
    <t>OK, mais ne contiens pas les cartes pigées après avoir défaussé les cartes (je ne sais pas si c'est voulu)</t>
  </si>
  <si>
    <t>La carte se joue seulement s’il y a au moins un macroinvertébré de l'un des types écrits sur la carte.</t>
  </si>
  <si>
    <t>Lorsque l'on joue la carte, un pop-up est affiché nous demandant quel type de macro nous désirons retourner dans les mains de leurs propriétaires.</t>
  </si>
  <si>
    <t>Les seuls types affichés dans le pop-up sont les types qui sont présents sur le jeu.</t>
  </si>
  <si>
    <t>La carte est mise directement à la décharge lorsqu'elle est jouée.</t>
  </si>
  <si>
    <t>Le retour dans les mains des bons types fonctionne et les mains sont grossies si elles dépassent la grosseur maximale (6)</t>
  </si>
  <si>
    <t>Jouez la carte crue soudaine</t>
  </si>
  <si>
    <t>Un popup est affiché nous demandant à quel joueur nous désirons faire passer le tour.</t>
  </si>
  <si>
    <t>Le tour du joueur est correctement passé et un pop-up affiche la raison.</t>
  </si>
  <si>
    <t>OK, mais les pop-up s'empilent (je ne sais pas si c'est voulu)</t>
  </si>
  <si>
    <t>Joueur la carte pécheur</t>
  </si>
  <si>
    <t>effet pécheur</t>
  </si>
  <si>
    <t>les 2 effets de pécheur fonctionnent correctement</t>
  </si>
  <si>
    <t>Le bon nombre de points additionnel est affiché dans la zone de droite le tour suivant.</t>
  </si>
  <si>
    <t>max 3 bandes riveraines</t>
  </si>
  <si>
    <t>Il n'est pas possible d'avoir plus de 3 bandes riveraines en jeu.</t>
  </si>
  <si>
    <t>OK, mais si je tente d'ajouter une quatrième je ne récupère pas ma carte après l'avertissement</t>
  </si>
  <si>
    <t>Les cartes actions sont jouables seulement sur le plateau.</t>
  </si>
  <si>
    <t>Un pop-up m'a informé qu'il n'y avait pas de déchets en jeu, mais s'est tout de même défaussé.</t>
  </si>
  <si>
    <t>La carte supprime correctement tous les déchets, enlève le highlights et enlève l'état perturber à la donnée.</t>
  </si>
  <si>
    <t>Testez ET la carte déchets fonctionne.</t>
  </si>
  <si>
    <t>La carte se joue seulement si il y a une carte érosion qui a été jouée ou s’il y a des habitats parmi les cartes intervention</t>
  </si>
  <si>
    <t>Aucun choix n'est apparu. Seulement un bouton confirmé ( si ça peut vous aider, j'ai joué la carte en début de partie…)</t>
  </si>
  <si>
    <t>Effet: annuler l'effet de la carte érosion</t>
  </si>
  <si>
    <t>La carte érosion est bien annulée, l'habitat transformer en sable redevient normal et la bande riveraine revient.</t>
  </si>
  <si>
    <t>Effet: choisir un habitat parmi les cartes intervention</t>
  </si>
  <si>
    <t>Un pop-up affichant toutes les cartes habitats qui sont présentes dans la pile d'intervention. Il nous suffit de cliquer dessus pour la prendre.</t>
  </si>
  <si>
    <t>La carte choisie s'en va dans notre main</t>
  </si>
  <si>
    <t>Il est possible de jouer la carte d'intervention choisie.</t>
  </si>
  <si>
    <t>La carte se joue seulement s’il y a une carte d'artificialisation ou s’il y a des bandes riveraines parmi les cartes d'intervention.</t>
  </si>
  <si>
    <t>Effet: annuler l'effet de la carte artificialisation.</t>
  </si>
  <si>
    <t>Si nous choisissons cet effet, les cartes d'artificialisation s'illuminent pour que nous puissions cliquer dessus et annuler l'effet.</t>
  </si>
  <si>
    <t>clic sur une autre carte.</t>
  </si>
  <si>
    <t>Un pop-up s'affiche pour nous dire que nous n'avons pas cliqué sur la bonne carte.</t>
  </si>
  <si>
    <t>Effet: choisir une bande riveraine</t>
  </si>
  <si>
    <t>Un pop-up avec les bandes riveraines disponibles s'affiche pour nous donner le choix.</t>
  </si>
  <si>
    <t>La bande riveraine qui est choisie est jouable.</t>
  </si>
  <si>
    <t>Le cout en ressources est bien enlevé et il n'est pas possible de jouer une carte perturbation si le cout en ressources est supérieur au point de ressources restant.</t>
  </si>
  <si>
    <t>Pas toujours (voir pollution organique)</t>
  </si>
  <si>
    <t>Érosion se joue directement sur le plateau, peu importe la position.</t>
  </si>
  <si>
    <t>La carte d'érosion ne se joue pas si il y a pas de bande riveraine en jeu et au moins un habitat à transformer en sable</t>
  </si>
  <si>
    <t>la bande riveraine cliquée va directement à la décharge</t>
  </si>
  <si>
    <t>Ceci ne fonctionnait pas, mais seulement à 2 joueurs, il est maintenant réglé.</t>
  </si>
  <si>
    <t>Ceci ne fonctionnait pas, mais seulement à 2 joueurs, il est maintenant régleur.</t>
  </si>
  <si>
    <t>L'habitat cliquer va à la décharge et un sable amenage est mis à sa place.</t>
  </si>
  <si>
    <t>cliquer une fois l'érosion finie</t>
  </si>
  <si>
    <t>Les cartes cliquées ne se transforment pas en sable une fois l'érosion terminer.</t>
  </si>
  <si>
    <t>La carte est affichée sur le dessus de la pile de défausse.</t>
  </si>
  <si>
    <t>Elle s'est jouée, mais ne m'a pas coûté de points de ressources</t>
  </si>
  <si>
    <t>Jouer diversement</t>
  </si>
  <si>
    <t>Déversement se joue directement sur le plateau, peu importe la position.</t>
  </si>
  <si>
    <t>Jouer déchets</t>
  </si>
  <si>
    <t>Déchets se joue seulement sur un habitat.</t>
  </si>
  <si>
    <t>Le passage de tout-terrain se joue seulement sur un habitat.</t>
  </si>
  <si>
    <t>ok, mais je n'ai pas compris pourquoi cette carte m'a demandé de choisir un joueur? Ensuite, la carte est restée sur la carte que j'avais choisie, ça a consommé mes points ressources et une copie de la carte "Passage de tout terrain" est revenue dans ma main.</t>
  </si>
  <si>
    <t>L'effet perturber et la carte passage de tout-terrain restent seulement 1 tour.</t>
  </si>
  <si>
    <t>Nombre de tours passage de tout-terrain</t>
  </si>
  <si>
    <t>Ne disparais jamais</t>
  </si>
  <si>
    <t>Macroinvertébrés mourant</t>
  </si>
  <si>
    <t>Les macroinvertébrés qui ont besoin d'un habitat dès que cet habitat est perturbé meurent si l'habitat est toujours perturbé à la fin du tour.</t>
  </si>
  <si>
    <t>Les bandes riveraines perturbées ne rapportent plus de points de ressources supplémentaires.</t>
  </si>
  <si>
    <t>Lorsqu'il y a un titre, le fichier se télécharge et il est possible d'y accéder plus tard pour charger une partie.</t>
  </si>
  <si>
    <t>Charger un fichier modifié</t>
  </si>
  <si>
    <t>Lorsqu'on charge un fichier qui a mal été modifié, le programme ne plante pas et un simple message s'affiche pour nous avertir que la sauvegarde n'est pas bonne et qu'elle ne pourra pas être continuée.</t>
  </si>
  <si>
    <t>OK (je vous conseille par contre de limiter les choix de la recherche à .jcb ! Cela se fait facilement avec un fileupload)</t>
  </si>
  <si>
    <t>Charger une partie réussie</t>
  </si>
  <si>
    <t>Toutes les cartes normales sont remises à leurs bonnes places, le nombre d'exemplaires est changé et les perturbations sont ajoutées.</t>
  </si>
  <si>
    <t>Pas capable de charger les parties, il y toujours un message qui dit qu'il ya une erreur dans le fichier</t>
  </si>
  <si>
    <t>Il est possible de continuer de jouer une partie qui vient d'être chargée.</t>
  </si>
  <si>
    <t>Lorsque nous jouons une de ces perturbations sur des cartes empiler, les cartes se désempile et notre carte de perturbation va dans un autre emplacement libre avec la carte perturber.</t>
  </si>
  <si>
    <t>En réglant les perturbations, cela c'est régleur.</t>
  </si>
  <si>
    <t>pollution organique</t>
  </si>
  <si>
    <t>Lorsqu'un habitat est perturbé à cause de pollution organique, les habitats qui étaient empilés sont déshabitatempiler et seulement désempiler est perturber.</t>
  </si>
  <si>
    <t>Réempilage</t>
  </si>
  <si>
    <t>À la fin de chaque tour, les cartes qui ne restent pas perturber sont déperturber, le highlight est retiré et elles sont rempilées si cela est possible.</t>
  </si>
  <si>
    <t>Lorsqu'on annule un effet de perturbation, la carte est rempilée si cela est possible.</t>
  </si>
  <si>
    <t>2 carte identique dropée l'une sur l'autre.</t>
  </si>
  <si>
    <t>La valeur dans le tableau d'exemplaire est OK.</t>
  </si>
  <si>
    <t>2 carte identique droppée sur des emplacements différents</t>
  </si>
  <si>
    <t>Apparence générale</t>
  </si>
  <si>
    <t>L’apparence est là lors de la création ou le chargement d'une partie.</t>
  </si>
  <si>
    <t>Présent paquet intervention</t>
  </si>
  <si>
    <t>Après avoir joué la carte naturalisation, la carte intervention est ajoutée dans la main et le tour continue</t>
  </si>
  <si>
    <t>Ok, mais à chaque fois que j'ai joué cette carte, un pop-up apparait après avoir choisi ma carte Intervention avec ce message "Il n'y a pas de cartes «Artificialisations» à retirer et il n'y a plus de cartes «Bandes Riveraines» dans le paquet de cartes «Interventions»."</t>
  </si>
  <si>
    <t>*AJOUTÉ* français</t>
  </si>
  <si>
    <t>*AJOUTÉ* nombre de cartes à défausser</t>
  </si>
  <si>
    <t>Ajouter le niveau de la difficulté</t>
  </si>
  <si>
    <t>Les 2 pop-up de fins sont présents.</t>
  </si>
  <si>
    <t>pas là</t>
  </si>
  <si>
    <t>Passer à antidote</t>
  </si>
  <si>
    <t>J'ai beaucoup beaucoup beaucoup tester et le problème n'est jamais arriver. J'ai aussi regarder le code et je n'ai pas trouver ou cela pouvais poser problème, j'en suis donc venu à la conclusion qu'il devais mélanger taille et tolérance sur la carte :p</t>
  </si>
  <si>
    <t>ok</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</si>
</sst>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C0C]d\ mmm\ yyyy;@"/>
    <numFmt numFmtId="165" formatCode="000\.000"/>
  </numFmts>
  <fonts count="14" x14ac:knownFonts="1">
    <font>
      <sz val="10"/>
      <name val="Arial"/>
    </font>
    <font>
      <sz val="10"/>
      <name val="Arial"/>
      <family val="2"/>
    </font>
    <font>
      <sz val="8"/>
      <name val="Arial"/>
      <family val="2"/>
    </font>
    <font>
      <b/>
      <sz val="10"/>
      <name val="Arial"/>
      <family val="2"/>
    </font>
    <font>
      <i/>
      <sz val="10"/>
      <name val="Arial"/>
      <family val="2"/>
    </font>
    <font>
      <sz val="10"/>
      <name val="Arial"/>
      <family val="2"/>
    </font>
    <font>
      <sz val="9"/>
      <color indexed="9"/>
      <name val="Arial"/>
      <family val="2"/>
    </font>
    <font>
      <sz val="8"/>
      <color indexed="9"/>
      <name val="Arial"/>
      <family val="2"/>
    </font>
    <font>
      <b/>
      <sz val="10"/>
      <color theme="0"/>
      <name val="Arial"/>
      <family val="2"/>
    </font>
    <font>
      <sz val="8"/>
      <color theme="0"/>
      <name val="Arial"/>
      <family val="2"/>
    </font>
    <font>
      <b/>
      <sz val="12"/>
      <color theme="6" tint="-0.499984740745262"/>
      <name val="Arial"/>
      <family val="2"/>
    </font>
    <font>
      <sz val="10"/>
      <color theme="6" tint="-0.499984740745262"/>
      <name val="Arial"/>
      <family val="2"/>
    </font>
    <font>
      <sz val="9"/>
      <color rgb="FF000000"/>
      <name val="Arial"/>
      <family val="2"/>
    </font>
    <font>
      <b/>
      <sz val="10"/>
      <color theme="6" tint="-0.499984740745262"/>
      <name val="Arial"/>
      <family val="2"/>
    </font>
  </fonts>
  <fills count="5">
    <fill>
      <patternFill patternType="none"/>
    </fill>
    <fill>
      <patternFill patternType="gray125"/>
    </fill>
    <fill>
      <patternFill patternType="solid">
        <fgColor theme="6" tint="-0.249977111117893"/>
        <bgColor indexed="64"/>
      </patternFill>
    </fill>
    <fill>
      <patternFill patternType="solid">
        <fgColor rgb="FFF0EEE5"/>
        <bgColor indexed="64"/>
      </patternFill>
    </fill>
    <fill>
      <patternFill patternType="solid">
        <fgColor rgb="FFFFFF00"/>
        <bgColor indexed="64"/>
      </patternFill>
    </fill>
  </fills>
  <borders count="6">
    <border>
      <left/>
      <right/>
      <top/>
      <bottom/>
      <diagonal/>
    </border>
    <border>
      <left style="thin">
        <color indexed="22"/>
      </left>
      <right style="thin">
        <color indexed="22"/>
      </right>
      <top style="thin">
        <color indexed="22"/>
      </top>
      <bottom style="thin">
        <color indexed="22"/>
      </bottom>
      <diagonal/>
    </border>
    <border>
      <left/>
      <right/>
      <top/>
      <bottom style="thin">
        <color indexed="22"/>
      </bottom>
      <diagonal/>
    </border>
    <border>
      <left style="thin">
        <color theme="2" tint="-9.9948118533890809E-2"/>
      </left>
      <right style="thin">
        <color theme="2" tint="-9.9948118533890809E-2"/>
      </right>
      <top style="thin">
        <color theme="2" tint="-9.9948118533890809E-2"/>
      </top>
      <bottom style="thin">
        <color theme="2" tint="-9.9948118533890809E-2"/>
      </bottom>
      <diagonal/>
    </border>
    <border>
      <left style="thin">
        <color theme="2" tint="-9.9948118533890809E-2"/>
      </left>
      <right/>
      <top style="thin">
        <color theme="2" tint="-9.9948118533890809E-2"/>
      </top>
      <bottom style="thin">
        <color theme="2" tint="-9.9948118533890809E-2"/>
      </bottom>
      <diagonal/>
    </border>
    <border>
      <left/>
      <right style="thin">
        <color theme="2" tint="-9.9948118533890809E-2"/>
      </right>
      <top style="thin">
        <color theme="2" tint="-9.9948118533890809E-2"/>
      </top>
      <bottom style="thin">
        <color theme="2" tint="-9.9948118533890809E-2"/>
      </bottom>
      <diagonal/>
    </border>
  </borders>
  <cellStyleXfs count="2">
    <xf numFmtId="0" fontId="0" fillId="0" borderId="0"/>
    <xf numFmtId="9" fontId="1" fillId="0" borderId="0" applyFont="0" applyFill="0" applyBorder="0" applyAlignment="0" applyProtection="0"/>
  </cellStyleXfs>
  <cellXfs count="54">
    <xf numFmtId="0" fontId="0" fillId="0" borderId="0" xfId="0"/>
    <xf numFmtId="0" fontId="3" fillId="0" borderId="0" xfId="0" applyFont="1" applyAlignment="1">
      <alignment wrapText="1"/>
    </xf>
    <xf numFmtId="0" fontId="0" fillId="0" borderId="1" xfId="0" applyBorder="1" applyAlignment="1">
      <alignment vertical="top" wrapText="1"/>
    </xf>
    <xf numFmtId="164" fontId="0" fillId="0" borderId="0" xfId="0" applyNumberFormat="1" applyAlignment="1">
      <alignment horizontal="left"/>
    </xf>
    <xf numFmtId="0" fontId="0" fillId="0" borderId="0" xfId="0" applyAlignment="1">
      <alignment wrapText="1"/>
    </xf>
    <xf numFmtId="0" fontId="0" fillId="0" borderId="0" xfId="0" applyNumberFormat="1" applyAlignment="1">
      <alignment horizontal="left"/>
    </xf>
    <xf numFmtId="164" fontId="0" fillId="0" borderId="1" xfId="0" applyNumberFormat="1" applyBorder="1" applyAlignment="1">
      <alignment vertical="top" wrapText="1"/>
    </xf>
    <xf numFmtId="9" fontId="4" fillId="0" borderId="0" xfId="1" applyFont="1" applyAlignment="1">
      <alignment horizontal="left"/>
    </xf>
    <xf numFmtId="0" fontId="0" fillId="0" borderId="0" xfId="1" applyNumberFormat="1" applyFont="1" applyAlignment="1">
      <alignment horizontal="center"/>
    </xf>
    <xf numFmtId="0" fontId="0" fillId="0" borderId="0" xfId="0" applyAlignment="1">
      <alignment horizontal="center"/>
    </xf>
    <xf numFmtId="0" fontId="0" fillId="0" borderId="1" xfId="0" applyBorder="1" applyAlignment="1">
      <alignment horizontal="center" vertical="top" wrapText="1"/>
    </xf>
    <xf numFmtId="0" fontId="0" fillId="0" borderId="0" xfId="0" applyNumberFormat="1" applyAlignment="1">
      <alignment horizontal="center"/>
    </xf>
    <xf numFmtId="164" fontId="0" fillId="0" borderId="0" xfId="0" applyNumberFormat="1" applyAlignment="1">
      <alignment horizontal="center"/>
    </xf>
    <xf numFmtId="0" fontId="5" fillId="0" borderId="0" xfId="0" applyFont="1"/>
    <xf numFmtId="0" fontId="8" fillId="2" borderId="1" xfId="0" applyFont="1" applyFill="1" applyBorder="1" applyAlignment="1">
      <alignment wrapText="1"/>
    </xf>
    <xf numFmtId="0" fontId="8" fillId="2" borderId="1" xfId="0" applyFont="1" applyFill="1" applyBorder="1" applyAlignment="1">
      <alignment vertical="center" textRotation="180" wrapText="1"/>
    </xf>
    <xf numFmtId="0" fontId="8" fillId="2" borderId="1" xfId="0" applyFont="1" applyFill="1" applyBorder="1" applyAlignment="1">
      <alignment horizontal="center" wrapText="1"/>
    </xf>
    <xf numFmtId="164" fontId="8" fillId="2" borderId="1" xfId="0" applyNumberFormat="1" applyFont="1" applyFill="1" applyBorder="1" applyAlignment="1">
      <alignment horizontal="left" wrapText="1"/>
    </xf>
    <xf numFmtId="0" fontId="8" fillId="2" borderId="1" xfId="0" applyNumberFormat="1" applyFont="1" applyFill="1" applyBorder="1" applyAlignment="1">
      <alignment horizontal="left" wrapText="1"/>
    </xf>
    <xf numFmtId="0" fontId="8" fillId="2" borderId="1" xfId="0" applyNumberFormat="1" applyFont="1" applyFill="1" applyBorder="1" applyAlignment="1">
      <alignment horizontal="center" wrapText="1"/>
    </xf>
    <xf numFmtId="164" fontId="8" fillId="2" borderId="1" xfId="0" applyNumberFormat="1" applyFont="1" applyFill="1" applyBorder="1" applyAlignment="1">
      <alignment horizontal="center" wrapText="1"/>
    </xf>
    <xf numFmtId="0" fontId="5" fillId="0" borderId="1" xfId="0" applyFont="1" applyBorder="1" applyAlignment="1">
      <alignment vertical="top" wrapText="1"/>
    </xf>
    <xf numFmtId="0" fontId="5" fillId="0" borderId="1" xfId="0" applyFont="1" applyBorder="1" applyAlignment="1">
      <alignment horizontal="center" vertical="top" wrapText="1"/>
    </xf>
    <xf numFmtId="0" fontId="4" fillId="0" borderId="0" xfId="0" applyFont="1" applyAlignment="1">
      <alignment horizontal="left"/>
    </xf>
    <xf numFmtId="0" fontId="10" fillId="0" borderId="0" xfId="0" applyFont="1"/>
    <xf numFmtId="0" fontId="11" fillId="0" borderId="0" xfId="0" applyFont="1" applyAlignment="1">
      <alignment wrapText="1"/>
    </xf>
    <xf numFmtId="0" fontId="1" fillId="0" borderId="0" xfId="0" applyFont="1"/>
    <xf numFmtId="0" fontId="1" fillId="0" borderId="1" xfId="0" applyFont="1" applyBorder="1" applyAlignment="1">
      <alignment vertical="top" wrapText="1"/>
    </xf>
    <xf numFmtId="0" fontId="1" fillId="0" borderId="1" xfId="0" applyFont="1" applyBorder="1" applyAlignment="1">
      <alignment horizontal="center" vertical="top" wrapText="1"/>
    </xf>
    <xf numFmtId="165" fontId="5" fillId="0" borderId="1" xfId="0" applyNumberFormat="1" applyFont="1" applyBorder="1" applyAlignment="1">
      <alignment horizontal="left" vertical="top" wrapText="1"/>
    </xf>
    <xf numFmtId="165" fontId="1" fillId="0" borderId="1" xfId="0" applyNumberFormat="1" applyFont="1" applyBorder="1" applyAlignment="1">
      <alignment vertical="top" wrapText="1"/>
    </xf>
    <xf numFmtId="0" fontId="1" fillId="0" borderId="1" xfId="0" applyNumberFormat="1" applyFont="1" applyBorder="1" applyAlignment="1">
      <alignment vertical="top" wrapText="1"/>
    </xf>
    <xf numFmtId="0" fontId="4" fillId="0" borderId="0" xfId="0" applyFont="1" applyAlignment="1">
      <alignment horizontal="right"/>
    </xf>
    <xf numFmtId="0" fontId="4" fillId="0" borderId="0" xfId="1" applyNumberFormat="1" applyFont="1" applyAlignment="1">
      <alignment horizontal="right"/>
    </xf>
    <xf numFmtId="0" fontId="0" fillId="0" borderId="0" xfId="0" applyAlignment="1">
      <alignment horizontal="center" wrapText="1"/>
    </xf>
    <xf numFmtId="0" fontId="0" fillId="0" borderId="0" xfId="0" applyAlignment="1"/>
    <xf numFmtId="0" fontId="0" fillId="0" borderId="0" xfId="0" applyAlignment="1">
      <alignment horizontal="right"/>
    </xf>
    <xf numFmtId="0" fontId="1" fillId="0" borderId="0" xfId="0" applyFont="1" applyAlignment="1">
      <alignment horizontal="right"/>
    </xf>
    <xf numFmtId="0" fontId="0" fillId="0" borderId="0" xfId="0" applyAlignment="1">
      <alignment horizontal="right" wrapText="1"/>
    </xf>
    <xf numFmtId="0" fontId="0" fillId="0" borderId="2" xfId="0" applyBorder="1" applyAlignment="1"/>
    <xf numFmtId="0" fontId="0" fillId="0" borderId="2" xfId="0" applyBorder="1" applyAlignment="1">
      <alignment horizontal="left"/>
    </xf>
    <xf numFmtId="0" fontId="1" fillId="3" borderId="3" xfId="0" applyFont="1" applyFill="1" applyBorder="1" applyAlignment="1">
      <alignment horizontal="left"/>
    </xf>
    <xf numFmtId="0" fontId="10" fillId="0" borderId="0" xfId="0" applyFont="1" applyAlignment="1">
      <alignment vertical="center"/>
    </xf>
    <xf numFmtId="0" fontId="1" fillId="0" borderId="0" xfId="0" applyFont="1" applyAlignment="1">
      <alignment horizontal="left" indent="1"/>
    </xf>
    <xf numFmtId="0" fontId="1" fillId="0" borderId="0" xfId="0" applyNumberFormat="1" applyFont="1" applyAlignment="1">
      <alignment horizontal="right"/>
    </xf>
    <xf numFmtId="165" fontId="1" fillId="0" borderId="1" xfId="0" applyNumberFormat="1" applyFont="1" applyBorder="1" applyAlignment="1">
      <alignment horizontal="left" vertical="top" wrapText="1"/>
    </xf>
    <xf numFmtId="165" fontId="1" fillId="4" borderId="1" xfId="0" applyNumberFormat="1" applyFont="1" applyFill="1" applyBorder="1" applyAlignment="1">
      <alignment horizontal="left" vertical="top" wrapText="1"/>
    </xf>
    <xf numFmtId="0" fontId="1" fillId="4" borderId="1" xfId="0" applyFont="1" applyFill="1" applyBorder="1" applyAlignment="1">
      <alignment vertical="top" wrapText="1"/>
    </xf>
    <xf numFmtId="0" fontId="1" fillId="4" borderId="1" xfId="0" applyFont="1" applyFill="1" applyBorder="1" applyAlignment="1">
      <alignment horizontal="center" vertical="top" wrapText="1"/>
    </xf>
    <xf numFmtId="0" fontId="0" fillId="4" borderId="1" xfId="0" applyFill="1" applyBorder="1" applyAlignment="1">
      <alignment vertical="top" wrapText="1"/>
    </xf>
    <xf numFmtId="164" fontId="1" fillId="0" borderId="0" xfId="0" applyNumberFormat="1" applyFont="1" applyAlignment="1">
      <alignment horizontal="center"/>
    </xf>
    <xf numFmtId="0" fontId="1" fillId="0" borderId="0" xfId="0" applyFont="1" applyAlignment="1">
      <alignment horizontal="center"/>
    </xf>
    <xf numFmtId="0" fontId="13" fillId="3" borderId="4" xfId="0" applyFont="1" applyFill="1" applyBorder="1" applyAlignment="1">
      <alignment horizontal="left"/>
    </xf>
    <xf numFmtId="0" fontId="13" fillId="3" borderId="5" xfId="0" applyFont="1" applyFill="1" applyBorder="1" applyAlignment="1">
      <alignment horizontal="left"/>
    </xf>
  </cellXfs>
  <cellStyles count="2">
    <cellStyle name="Normal" xfId="0" builtinId="0"/>
    <cellStyle name="Pourcentage" xfId="1" builtinId="5"/>
  </cellStyles>
  <dxfs count="27">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ill>
        <patternFill>
          <bgColor theme="5" tint="0.39994506668294322"/>
        </patternFill>
      </fill>
    </dxf>
    <dxf>
      <font>
        <b/>
        <i val="0"/>
        <condense val="0"/>
        <extend val="0"/>
      </font>
      <fill>
        <patternFill>
          <bgColor theme="6" tint="0.39994506668294322"/>
        </patternFill>
      </fill>
      <border>
        <left/>
        <right/>
        <top style="thin">
          <color indexed="64"/>
        </top>
        <bottom style="thin">
          <color indexed="64"/>
        </bottom>
      </border>
    </dxf>
    <dxf>
      <font>
        <strike val="0"/>
        <condense val="0"/>
        <extend val="0"/>
        <color indexed="22"/>
      </font>
    </dxf>
    <dxf>
      <font>
        <b/>
        <i val="0"/>
        <condense val="0"/>
        <extend val="0"/>
      </font>
      <fill>
        <patternFill>
          <bgColor theme="6" tint="0.39994506668294322"/>
        </patternFill>
      </fill>
      <border>
        <left/>
        <right/>
        <top style="thin">
          <color indexed="64"/>
        </top>
        <bottom style="thin">
          <color indexed="64"/>
        </bottom>
      </border>
    </dxf>
    <dxf>
      <fill>
        <patternFill>
          <bgColor theme="5" tint="0.39994506668294322"/>
        </patternFill>
      </fill>
    </dxf>
    <dxf>
      <font>
        <strike val="0"/>
        <condense val="0"/>
        <extend val="0"/>
        <color indexed="22"/>
      </font>
    </dxf>
    <dxf>
      <fill>
        <patternFill>
          <bgColor theme="5" tint="0.39994506668294322"/>
        </patternFill>
      </fill>
    </dxf>
  </dxfs>
  <tableStyles count="0" defaultTableStyle="TableStyleMedium9" defaultPivotStyle="PivotStyleLight16"/>
  <colors>
    <mruColors>
      <color rgb="FFF0EEE5"/>
      <color rgb="FFFFFF66"/>
      <color rgb="FFB4C604"/>
      <color rgb="FF9FA3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xdr:colOff>
          <xdr:row>6</xdr:row>
          <xdr:rowOff>57150</xdr:rowOff>
        </xdr:from>
        <xdr:to>
          <xdr:col>7</xdr:col>
          <xdr:colOff>800100</xdr:colOff>
          <xdr:row>6</xdr:row>
          <xdr:rowOff>257175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304800</xdr:rowOff>
        </xdr:from>
        <xdr:to>
          <xdr:col>12</xdr:col>
          <xdr:colOff>800100</xdr:colOff>
          <xdr:row>6</xdr:row>
          <xdr:rowOff>504825</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Date du jour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57150</xdr:rowOff>
        </xdr:from>
        <xdr:to>
          <xdr:col>5</xdr:col>
          <xdr:colOff>790575</xdr:colOff>
          <xdr:row>6</xdr:row>
          <xdr:rowOff>257175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Cacher 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819150</xdr:colOff>
          <xdr:row>6</xdr:row>
          <xdr:rowOff>57150</xdr:rowOff>
        </xdr:from>
        <xdr:to>
          <xdr:col>5</xdr:col>
          <xdr:colOff>1581150</xdr:colOff>
          <xdr:row>6</xdr:row>
          <xdr:rowOff>257175</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Afficher tout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6</xdr:row>
          <xdr:rowOff>57150</xdr:rowOff>
        </xdr:from>
        <xdr:to>
          <xdr:col>0</xdr:col>
          <xdr:colOff>476250</xdr:colOff>
          <xdr:row>6</xdr:row>
          <xdr:rowOff>266700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6</xdr:row>
          <xdr:rowOff>57150</xdr:rowOff>
        </xdr:from>
        <xdr:to>
          <xdr:col>9</xdr:col>
          <xdr:colOff>457200</xdr:colOff>
          <xdr:row>6</xdr:row>
          <xdr:rowOff>266700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xdr:colOff>
          <xdr:row>6</xdr:row>
          <xdr:rowOff>57150</xdr:rowOff>
        </xdr:from>
        <xdr:to>
          <xdr:col>12</xdr:col>
          <xdr:colOff>800100</xdr:colOff>
          <xdr:row>6</xdr:row>
          <xdr:rowOff>266700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6</xdr:row>
          <xdr:rowOff>57150</xdr:rowOff>
        </xdr:from>
        <xdr:to>
          <xdr:col>10</xdr:col>
          <xdr:colOff>400050</xdr:colOff>
          <xdr:row>6</xdr:row>
          <xdr:rowOff>266700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CA" sz="900" b="0" i="0" u="none" strike="noStrike" baseline="0">
                  <a:solidFill>
                    <a:srgbClr val="000000"/>
                  </a:solidFill>
                  <a:latin typeface="Arial"/>
                  <a:cs typeface="Arial"/>
                </a:rPr>
                <a:t>Trier</a:t>
              </a: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N549"/>
  <sheetViews>
    <sheetView tabSelected="1" zoomScaleNormal="100" workbookViewId="0">
      <pane ySplit="7" topLeftCell="A67" activePane="bottomLeft" state="frozen"/>
      <selection pane="bottomLeft" activeCell="A225" sqref="A225:XFD225"/>
    </sheetView>
  </sheetViews>
  <sheetFormatPr baseColWidth="10" defaultRowHeight="12.75" x14ac:dyDescent="0.2"/>
  <cols>
    <col min="1" max="1" width="10.140625" customWidth="1"/>
    <col min="2" max="2" width="29.28515625" style="4" customWidth="1"/>
    <col min="3" max="3" width="8.140625" style="34" customWidth="1"/>
    <col min="4" max="4" width="35.7109375" customWidth="1"/>
    <col min="5" max="5" width="3" customWidth="1"/>
    <col min="6" max="6" width="27.85546875" customWidth="1"/>
    <col min="7" max="7" width="6.140625" style="9" customWidth="1"/>
    <col min="8" max="8" width="12.28515625" style="3" customWidth="1"/>
    <col min="9" max="9" width="6.140625" style="9" customWidth="1"/>
    <col min="10" max="10" width="7.5703125" style="5" customWidth="1"/>
    <col min="11" max="11" width="6.42578125" style="11" customWidth="1"/>
    <col min="12" max="12" width="6.140625" style="12" customWidth="1"/>
    <col min="13" max="13" width="12.42578125" style="3" customWidth="1"/>
    <col min="14" max="14" width="28.28515625" customWidth="1"/>
    <col min="17" max="17" width="13.7109375" customWidth="1"/>
  </cols>
  <sheetData>
    <row r="1" spans="1:14" ht="15.75" x14ac:dyDescent="0.2">
      <c r="A1" s="42" t="s">
        <v>13</v>
      </c>
      <c r="B1" s="25"/>
      <c r="C1"/>
      <c r="E1" s="35"/>
      <c r="F1" s="44" t="s">
        <v>66</v>
      </c>
      <c r="G1" s="11">
        <f>COUNTA(D8:D221)</f>
        <v>182</v>
      </c>
      <c r="L1" s="9"/>
    </row>
    <row r="2" spans="1:14" x14ac:dyDescent="0.2">
      <c r="A2" s="52" t="s">
        <v>16</v>
      </c>
      <c r="B2" s="53"/>
      <c r="C2" s="36" t="s">
        <v>33</v>
      </c>
      <c r="D2" s="41" t="s">
        <v>35</v>
      </c>
      <c r="E2" s="35"/>
      <c r="F2" s="32" t="s">
        <v>0</v>
      </c>
      <c r="G2" s="7">
        <f>IF(COUNTA($F$8:$F$475)&gt;1,COUNTIF($F$8:$F$475,"ok")/(COUNTA($F$8:$F$475)-COUNTIF($F$8:$F$475,"na")),"---")</f>
        <v>0.72832369942196529</v>
      </c>
      <c r="I2" s="8"/>
      <c r="L2" s="9"/>
    </row>
    <row r="3" spans="1:14" x14ac:dyDescent="0.2">
      <c r="A3" s="26" t="s">
        <v>67</v>
      </c>
      <c r="B3" s="41" t="s">
        <v>235</v>
      </c>
      <c r="C3" s="36"/>
      <c r="D3" s="41" t="s">
        <v>36</v>
      </c>
      <c r="F3" s="33" t="s">
        <v>2</v>
      </c>
      <c r="G3" s="23">
        <f>COUNTA($F$8:$F$475)-COUNTIF($F$8:$F$475,"na")-COUNTIF($F$8:$F$475,"ok")</f>
        <v>47</v>
      </c>
      <c r="H3"/>
      <c r="I3"/>
      <c r="J3"/>
      <c r="L3" s="9"/>
    </row>
    <row r="4" spans="1:14" x14ac:dyDescent="0.2">
      <c r="A4" t="s">
        <v>39</v>
      </c>
      <c r="B4" s="41" t="s">
        <v>38</v>
      </c>
      <c r="C4" s="37" t="s">
        <v>34</v>
      </c>
      <c r="D4" s="41" t="s">
        <v>35</v>
      </c>
      <c r="E4" s="35"/>
      <c r="F4" s="33" t="s">
        <v>3</v>
      </c>
      <c r="G4" s="23">
        <f>G3-COUNTA(L8:L475)</f>
        <v>0</v>
      </c>
      <c r="I4" s="8"/>
      <c r="L4" s="9"/>
    </row>
    <row r="5" spans="1:14" x14ac:dyDescent="0.2">
      <c r="A5" t="s">
        <v>40</v>
      </c>
      <c r="B5" s="41" t="s">
        <v>37</v>
      </c>
      <c r="C5" s="36"/>
      <c r="D5" s="41" t="s">
        <v>36</v>
      </c>
      <c r="E5" s="35"/>
    </row>
    <row r="6" spans="1:14" x14ac:dyDescent="0.2">
      <c r="A6" s="13"/>
      <c r="C6" s="38"/>
      <c r="D6" s="40"/>
      <c r="E6" s="39"/>
    </row>
    <row r="7" spans="1:14" s="1" customFormat="1" ht="81.75" x14ac:dyDescent="0.2">
      <c r="A7" s="14" t="s">
        <v>15</v>
      </c>
      <c r="B7" s="14" t="s">
        <v>10</v>
      </c>
      <c r="C7" s="16" t="s">
        <v>31</v>
      </c>
      <c r="D7" s="14" t="s">
        <v>8</v>
      </c>
      <c r="E7" s="15" t="s">
        <v>1</v>
      </c>
      <c r="F7" s="14" t="s">
        <v>267</v>
      </c>
      <c r="G7" s="16" t="s">
        <v>9</v>
      </c>
      <c r="H7" s="17" t="s">
        <v>11</v>
      </c>
      <c r="I7" s="16" t="s">
        <v>4</v>
      </c>
      <c r="J7" s="18" t="s">
        <v>14</v>
      </c>
      <c r="K7" s="19" t="s">
        <v>30</v>
      </c>
      <c r="L7" s="20" t="s">
        <v>5</v>
      </c>
      <c r="M7" s="17" t="s">
        <v>7</v>
      </c>
      <c r="N7" s="17" t="s">
        <v>6</v>
      </c>
    </row>
    <row r="8" spans="1:14" x14ac:dyDescent="0.2">
      <c r="A8" s="45">
        <v>10000</v>
      </c>
      <c r="B8" s="27" t="s">
        <v>68</v>
      </c>
      <c r="C8" s="10"/>
      <c r="D8" s="2"/>
      <c r="E8" s="2"/>
      <c r="F8" s="2"/>
      <c r="G8" s="10"/>
      <c r="H8" s="6"/>
      <c r="I8" s="10"/>
      <c r="J8" s="2"/>
      <c r="K8" s="10"/>
      <c r="L8" s="10"/>
      <c r="M8" s="6"/>
      <c r="N8" s="2"/>
    </row>
    <row r="9" spans="1:14" ht="25.5" hidden="1" x14ac:dyDescent="0.2">
      <c r="A9" s="45">
        <v>10010</v>
      </c>
      <c r="B9" s="27" t="s">
        <v>69</v>
      </c>
      <c r="C9" s="28"/>
      <c r="D9" s="27" t="s">
        <v>269</v>
      </c>
      <c r="E9" s="27"/>
      <c r="F9" s="27" t="s">
        <v>268</v>
      </c>
      <c r="G9" s="28" t="s">
        <v>249</v>
      </c>
      <c r="H9" s="6">
        <v>42712</v>
      </c>
      <c r="I9" s="10"/>
      <c r="J9" s="2"/>
      <c r="K9" s="10"/>
      <c r="L9" s="28"/>
      <c r="M9" s="6"/>
      <c r="N9" s="2"/>
    </row>
    <row r="10" spans="1:14" ht="25.5" hidden="1" x14ac:dyDescent="0.2">
      <c r="A10" s="45">
        <v>10020</v>
      </c>
      <c r="B10" s="27" t="s">
        <v>70</v>
      </c>
      <c r="C10" s="28"/>
      <c r="D10" s="27" t="s">
        <v>270</v>
      </c>
      <c r="E10" s="27"/>
      <c r="F10" s="30" t="s">
        <v>268</v>
      </c>
      <c r="G10" s="28" t="s">
        <v>249</v>
      </c>
      <c r="H10" s="6">
        <v>42712</v>
      </c>
      <c r="I10" s="10"/>
      <c r="J10" s="2"/>
      <c r="K10" s="28"/>
      <c r="L10" s="28"/>
      <c r="M10" s="6"/>
      <c r="N10" s="2"/>
    </row>
    <row r="11" spans="1:14" ht="38.25" hidden="1" x14ac:dyDescent="0.2">
      <c r="A11" s="45">
        <v>10030</v>
      </c>
      <c r="B11" s="27" t="s">
        <v>271</v>
      </c>
      <c r="C11" s="28"/>
      <c r="D11" s="27" t="s">
        <v>272</v>
      </c>
      <c r="E11" s="2"/>
      <c r="F11" s="30" t="s">
        <v>268</v>
      </c>
      <c r="G11" s="28" t="s">
        <v>249</v>
      </c>
      <c r="H11" s="6">
        <v>42712</v>
      </c>
      <c r="I11" s="10"/>
      <c r="J11" s="2"/>
      <c r="K11" s="28"/>
      <c r="L11" s="28"/>
      <c r="M11" s="6"/>
      <c r="N11" s="2"/>
    </row>
    <row r="12" spans="1:14" ht="25.5" hidden="1" x14ac:dyDescent="0.2">
      <c r="A12" s="45">
        <v>10040</v>
      </c>
      <c r="B12" s="27" t="s">
        <v>274</v>
      </c>
      <c r="C12" s="28"/>
      <c r="D12" s="27" t="s">
        <v>275</v>
      </c>
      <c r="E12" s="2"/>
      <c r="F12" s="30" t="s">
        <v>268</v>
      </c>
      <c r="G12" s="28" t="s">
        <v>249</v>
      </c>
      <c r="H12" s="6">
        <v>42712</v>
      </c>
      <c r="I12" s="10"/>
      <c r="J12" s="2"/>
      <c r="K12" s="28"/>
      <c r="L12" s="28"/>
      <c r="M12" s="6"/>
      <c r="N12" s="2"/>
    </row>
    <row r="13" spans="1:14" ht="38.25" hidden="1" x14ac:dyDescent="0.2">
      <c r="A13" s="45">
        <v>10050</v>
      </c>
      <c r="B13" s="27" t="s">
        <v>72</v>
      </c>
      <c r="C13" s="28"/>
      <c r="D13" s="27" t="s">
        <v>276</v>
      </c>
      <c r="E13" s="2"/>
      <c r="F13" s="30" t="s">
        <v>268</v>
      </c>
      <c r="G13" s="28" t="s">
        <v>249</v>
      </c>
      <c r="H13" s="6">
        <v>42712</v>
      </c>
      <c r="I13" s="10"/>
      <c r="J13" s="2"/>
      <c r="K13" s="28"/>
      <c r="L13" s="28"/>
      <c r="M13" s="6"/>
      <c r="N13" s="2"/>
    </row>
    <row r="14" spans="1:14" ht="25.5" hidden="1" x14ac:dyDescent="0.2">
      <c r="A14" s="45">
        <v>10060</v>
      </c>
      <c r="B14" s="27" t="s">
        <v>73</v>
      </c>
      <c r="C14" s="28"/>
      <c r="D14" s="27" t="s">
        <v>277</v>
      </c>
      <c r="E14" s="2"/>
      <c r="F14" s="27" t="s">
        <v>268</v>
      </c>
      <c r="G14" s="28" t="s">
        <v>249</v>
      </c>
      <c r="H14" s="6">
        <v>42712</v>
      </c>
      <c r="I14" s="10"/>
      <c r="J14" s="2"/>
      <c r="K14" s="10"/>
      <c r="L14" s="28"/>
      <c r="M14" s="6"/>
      <c r="N14" s="2"/>
    </row>
    <row r="15" spans="1:14" hidden="1" x14ac:dyDescent="0.2">
      <c r="A15" s="45">
        <v>10070</v>
      </c>
      <c r="B15" s="27" t="s">
        <v>278</v>
      </c>
      <c r="C15" s="28"/>
      <c r="D15" s="27" t="s">
        <v>279</v>
      </c>
      <c r="E15" s="2"/>
      <c r="F15" s="27" t="s">
        <v>268</v>
      </c>
      <c r="G15" s="28" t="s">
        <v>249</v>
      </c>
      <c r="H15" s="6">
        <v>42712</v>
      </c>
      <c r="I15" s="10"/>
      <c r="J15" s="2"/>
      <c r="K15" s="10"/>
      <c r="L15" s="28"/>
      <c r="M15" s="6"/>
      <c r="N15" s="2"/>
    </row>
    <row r="16" spans="1:14" hidden="1" x14ac:dyDescent="0.2">
      <c r="A16" s="45">
        <v>10080</v>
      </c>
      <c r="B16" s="27" t="s">
        <v>74</v>
      </c>
      <c r="C16" s="28"/>
      <c r="D16" s="27" t="s">
        <v>75</v>
      </c>
      <c r="E16" s="2"/>
      <c r="F16" s="27" t="s">
        <v>268</v>
      </c>
      <c r="G16" s="28" t="s">
        <v>249</v>
      </c>
      <c r="H16" s="6">
        <v>42712</v>
      </c>
      <c r="I16" s="10"/>
      <c r="J16" s="2"/>
      <c r="K16" s="10"/>
      <c r="L16" s="28"/>
      <c r="M16" s="6"/>
      <c r="N16" s="2"/>
    </row>
    <row r="17" spans="1:14" ht="38.25" hidden="1" x14ac:dyDescent="0.2">
      <c r="A17" s="45">
        <v>10090</v>
      </c>
      <c r="B17" s="27" t="s">
        <v>76</v>
      </c>
      <c r="C17" s="28"/>
      <c r="D17" s="27" t="s">
        <v>280</v>
      </c>
      <c r="E17" s="2"/>
      <c r="F17" s="27" t="s">
        <v>268</v>
      </c>
      <c r="G17" s="28" t="s">
        <v>249</v>
      </c>
      <c r="H17" s="6">
        <v>42712</v>
      </c>
      <c r="I17" s="10"/>
      <c r="J17" s="2"/>
      <c r="K17" s="10"/>
      <c r="L17" s="28"/>
      <c r="M17" s="6"/>
      <c r="N17" s="2"/>
    </row>
    <row r="18" spans="1:14" ht="25.5" hidden="1" x14ac:dyDescent="0.2">
      <c r="A18" s="45">
        <v>10100</v>
      </c>
      <c r="B18" s="27" t="s">
        <v>77</v>
      </c>
      <c r="C18" s="28"/>
      <c r="D18" s="27" t="s">
        <v>282</v>
      </c>
      <c r="E18" s="27"/>
      <c r="F18" s="27" t="s">
        <v>268</v>
      </c>
      <c r="G18" s="28" t="s">
        <v>249</v>
      </c>
      <c r="H18" s="6">
        <v>42712</v>
      </c>
      <c r="I18" s="10"/>
      <c r="J18" s="2"/>
      <c r="K18" s="10"/>
      <c r="L18" s="28"/>
      <c r="M18" s="6"/>
      <c r="N18" s="2"/>
    </row>
    <row r="19" spans="1:14" x14ac:dyDescent="0.2">
      <c r="A19" s="45">
        <v>20000</v>
      </c>
      <c r="B19" s="27" t="s">
        <v>283</v>
      </c>
      <c r="C19" s="28"/>
      <c r="D19" s="2"/>
      <c r="E19" s="2"/>
      <c r="F19" s="27"/>
      <c r="G19" s="28"/>
      <c r="H19" s="6"/>
      <c r="I19" s="10"/>
      <c r="J19" s="2"/>
      <c r="K19" s="10"/>
      <c r="L19" s="28"/>
      <c r="M19" s="6"/>
      <c r="N19" s="2"/>
    </row>
    <row r="20" spans="1:14" hidden="1" x14ac:dyDescent="0.2">
      <c r="A20" s="45">
        <v>20010</v>
      </c>
      <c r="B20" s="27" t="s">
        <v>69</v>
      </c>
      <c r="C20" s="28"/>
      <c r="D20" s="27" t="s">
        <v>284</v>
      </c>
      <c r="E20" s="2"/>
      <c r="F20" s="27" t="s">
        <v>268</v>
      </c>
      <c r="G20" s="28" t="s">
        <v>249</v>
      </c>
      <c r="H20" s="6">
        <v>42712</v>
      </c>
      <c r="I20" s="10"/>
      <c r="J20" s="2"/>
      <c r="K20" s="10"/>
      <c r="L20" s="28"/>
      <c r="M20" s="6"/>
      <c r="N20" s="2"/>
    </row>
    <row r="21" spans="1:14" ht="25.5" hidden="1" x14ac:dyDescent="0.2">
      <c r="A21" s="45">
        <v>20020</v>
      </c>
      <c r="B21" s="27" t="s">
        <v>70</v>
      </c>
      <c r="C21" s="28"/>
      <c r="D21" s="27" t="s">
        <v>270</v>
      </c>
      <c r="E21" s="2"/>
      <c r="F21" s="27" t="s">
        <v>268</v>
      </c>
      <c r="G21" s="28" t="s">
        <v>249</v>
      </c>
      <c r="H21" s="6">
        <v>42712</v>
      </c>
      <c r="I21" s="10"/>
      <c r="J21" s="2"/>
      <c r="K21" s="10"/>
      <c r="L21" s="28"/>
      <c r="M21" s="6"/>
      <c r="N21" s="2"/>
    </row>
    <row r="22" spans="1:14" ht="38.25" hidden="1" x14ac:dyDescent="0.2">
      <c r="A22" s="45">
        <v>20030</v>
      </c>
      <c r="B22" s="27" t="s">
        <v>271</v>
      </c>
      <c r="C22" s="28"/>
      <c r="D22" s="27" t="s">
        <v>272</v>
      </c>
      <c r="E22" s="2"/>
      <c r="F22" s="27" t="s">
        <v>268</v>
      </c>
      <c r="G22" s="28" t="s">
        <v>249</v>
      </c>
      <c r="H22" s="6">
        <v>42712</v>
      </c>
      <c r="I22" s="10"/>
      <c r="J22" s="2"/>
      <c r="K22" s="10"/>
      <c r="L22" s="28"/>
      <c r="M22" s="6"/>
      <c r="N22" s="2"/>
    </row>
    <row r="23" spans="1:14" hidden="1" x14ac:dyDescent="0.2">
      <c r="A23" s="45">
        <v>20040</v>
      </c>
      <c r="B23" s="27" t="s">
        <v>78</v>
      </c>
      <c r="C23" s="10"/>
      <c r="D23" s="27" t="s">
        <v>285</v>
      </c>
      <c r="E23" s="2"/>
      <c r="F23" s="27" t="s">
        <v>268</v>
      </c>
      <c r="G23" s="28" t="s">
        <v>249</v>
      </c>
      <c r="H23" s="6">
        <v>42712</v>
      </c>
      <c r="I23" s="10"/>
      <c r="J23" s="2"/>
      <c r="K23" s="10"/>
      <c r="L23" s="28"/>
      <c r="M23" s="6"/>
      <c r="N23" s="2"/>
    </row>
    <row r="24" spans="1:14" ht="25.5" hidden="1" x14ac:dyDescent="0.2">
      <c r="A24" s="45">
        <v>20050</v>
      </c>
      <c r="B24" s="27" t="s">
        <v>79</v>
      </c>
      <c r="C24" s="10"/>
      <c r="D24" s="27" t="s">
        <v>286</v>
      </c>
      <c r="E24" s="2"/>
      <c r="F24" s="27" t="s">
        <v>268</v>
      </c>
      <c r="G24" s="28" t="s">
        <v>249</v>
      </c>
      <c r="H24" s="6">
        <v>42712</v>
      </c>
      <c r="I24" s="10"/>
      <c r="J24" s="2"/>
      <c r="K24" s="10"/>
      <c r="L24" s="28"/>
      <c r="M24" s="6"/>
      <c r="N24" s="2"/>
    </row>
    <row r="25" spans="1:14" ht="25.5" hidden="1" x14ac:dyDescent="0.2">
      <c r="A25" s="45">
        <v>20060</v>
      </c>
      <c r="B25" s="27" t="s">
        <v>80</v>
      </c>
      <c r="C25" s="10"/>
      <c r="D25" s="27" t="s">
        <v>287</v>
      </c>
      <c r="E25" s="2"/>
      <c r="F25" s="27" t="s">
        <v>268</v>
      </c>
      <c r="G25" s="28" t="s">
        <v>249</v>
      </c>
      <c r="H25" s="6">
        <v>42712</v>
      </c>
      <c r="I25" s="10"/>
      <c r="J25" s="2"/>
      <c r="K25" s="10"/>
      <c r="L25" s="28"/>
      <c r="M25" s="6"/>
      <c r="N25" s="2"/>
    </row>
    <row r="26" spans="1:14" ht="38.25" hidden="1" x14ac:dyDescent="0.2">
      <c r="A26" s="45">
        <v>20070</v>
      </c>
      <c r="B26" s="27" t="s">
        <v>81</v>
      </c>
      <c r="C26" s="10"/>
      <c r="D26" s="27" t="s">
        <v>288</v>
      </c>
      <c r="E26" s="2"/>
      <c r="F26" s="27" t="s">
        <v>268</v>
      </c>
      <c r="G26" s="28" t="s">
        <v>249</v>
      </c>
      <c r="H26" s="6">
        <v>42712</v>
      </c>
      <c r="I26" s="10"/>
      <c r="J26" s="2"/>
      <c r="K26" s="10"/>
      <c r="L26" s="28"/>
      <c r="M26" s="6"/>
      <c r="N26" s="2"/>
    </row>
    <row r="27" spans="1:14" ht="25.5" hidden="1" x14ac:dyDescent="0.2">
      <c r="A27" s="45">
        <v>20080</v>
      </c>
      <c r="B27" s="27" t="s">
        <v>82</v>
      </c>
      <c r="C27" s="10"/>
      <c r="D27" s="27" t="s">
        <v>289</v>
      </c>
      <c r="E27" s="2"/>
      <c r="F27" s="27" t="s">
        <v>268</v>
      </c>
      <c r="G27" s="28" t="s">
        <v>249</v>
      </c>
      <c r="H27" s="6">
        <v>42712</v>
      </c>
      <c r="I27" s="10"/>
      <c r="J27" s="2"/>
      <c r="K27" s="10"/>
      <c r="L27" s="28"/>
      <c r="M27" s="6"/>
      <c r="N27" s="2"/>
    </row>
    <row r="28" spans="1:14" ht="38.25" hidden="1" x14ac:dyDescent="0.2">
      <c r="A28" s="45">
        <v>20090</v>
      </c>
      <c r="B28" s="27" t="s">
        <v>83</v>
      </c>
      <c r="C28" s="10"/>
      <c r="D28" s="27" t="s">
        <v>290</v>
      </c>
      <c r="E28" s="2"/>
      <c r="F28" s="27" t="s">
        <v>268</v>
      </c>
      <c r="G28" s="28" t="s">
        <v>249</v>
      </c>
      <c r="H28" s="6">
        <v>42712</v>
      </c>
      <c r="I28" s="10"/>
      <c r="J28" s="2"/>
      <c r="K28" s="10"/>
      <c r="L28" s="28"/>
      <c r="M28" s="6"/>
      <c r="N28" s="2"/>
    </row>
    <row r="29" spans="1:14" ht="25.5" hidden="1" x14ac:dyDescent="0.2">
      <c r="A29" s="45">
        <v>20100</v>
      </c>
      <c r="B29" s="27" t="s">
        <v>84</v>
      </c>
      <c r="C29" s="10"/>
      <c r="D29" s="27" t="s">
        <v>85</v>
      </c>
      <c r="E29" s="2"/>
      <c r="F29" s="27" t="s">
        <v>268</v>
      </c>
      <c r="G29" s="28" t="s">
        <v>249</v>
      </c>
      <c r="H29" s="6">
        <v>42712</v>
      </c>
      <c r="I29" s="10"/>
      <c r="J29" s="2"/>
      <c r="K29" s="10"/>
      <c r="L29" s="28"/>
      <c r="M29" s="6"/>
      <c r="N29" s="2"/>
    </row>
    <row r="30" spans="1:14" ht="38.25" hidden="1" x14ac:dyDescent="0.2">
      <c r="A30" s="45">
        <v>20110</v>
      </c>
      <c r="B30" s="27" t="s">
        <v>86</v>
      </c>
      <c r="C30" s="10"/>
      <c r="D30" s="27" t="s">
        <v>291</v>
      </c>
      <c r="E30" s="2"/>
      <c r="F30" s="27" t="s">
        <v>268</v>
      </c>
      <c r="G30" s="28" t="s">
        <v>249</v>
      </c>
      <c r="H30" s="6">
        <v>42712</v>
      </c>
      <c r="I30" s="10"/>
      <c r="J30" s="2"/>
      <c r="K30" s="10"/>
      <c r="L30" s="28"/>
      <c r="M30" s="6"/>
      <c r="N30" s="2"/>
    </row>
    <row r="31" spans="1:14" ht="25.5" hidden="1" x14ac:dyDescent="0.2">
      <c r="A31" s="45">
        <v>20120</v>
      </c>
      <c r="B31" s="27" t="s">
        <v>87</v>
      </c>
      <c r="C31" s="10"/>
      <c r="D31" s="27" t="s">
        <v>88</v>
      </c>
      <c r="E31" s="2"/>
      <c r="F31" s="27" t="s">
        <v>268</v>
      </c>
      <c r="G31" s="28" t="s">
        <v>249</v>
      </c>
      <c r="H31" s="6">
        <v>42712</v>
      </c>
      <c r="I31" s="10"/>
      <c r="J31" s="2"/>
      <c r="K31" s="10"/>
      <c r="L31" s="28"/>
      <c r="M31" s="6"/>
      <c r="N31" s="2"/>
    </row>
    <row r="32" spans="1:14" ht="25.5" hidden="1" x14ac:dyDescent="0.2">
      <c r="A32" s="45">
        <v>20130</v>
      </c>
      <c r="B32" s="27" t="s">
        <v>89</v>
      </c>
      <c r="C32" s="10"/>
      <c r="D32" s="2" t="s">
        <v>88</v>
      </c>
      <c r="E32" s="2"/>
      <c r="F32" s="27" t="s">
        <v>268</v>
      </c>
      <c r="G32" s="28" t="s">
        <v>249</v>
      </c>
      <c r="H32" s="6">
        <v>42712</v>
      </c>
      <c r="I32" s="10"/>
      <c r="J32" s="2"/>
      <c r="K32" s="10"/>
      <c r="L32" s="28"/>
      <c r="M32" s="6"/>
      <c r="N32" s="2"/>
    </row>
    <row r="33" spans="1:14" ht="25.5" hidden="1" x14ac:dyDescent="0.2">
      <c r="A33" s="45">
        <v>20140</v>
      </c>
      <c r="B33" s="27" t="s">
        <v>292</v>
      </c>
      <c r="C33" s="10"/>
      <c r="D33" s="2" t="s">
        <v>88</v>
      </c>
      <c r="E33" s="2"/>
      <c r="F33" s="27" t="s">
        <v>268</v>
      </c>
      <c r="G33" s="28" t="s">
        <v>249</v>
      </c>
      <c r="H33" s="6">
        <v>42712</v>
      </c>
      <c r="I33" s="10"/>
      <c r="J33" s="2"/>
      <c r="K33" s="10"/>
      <c r="L33" s="28"/>
      <c r="M33" s="6"/>
      <c r="N33" s="2"/>
    </row>
    <row r="34" spans="1:14" ht="25.5" hidden="1" x14ac:dyDescent="0.2">
      <c r="A34" s="45">
        <v>20150</v>
      </c>
      <c r="B34" s="27" t="s">
        <v>90</v>
      </c>
      <c r="C34" s="10"/>
      <c r="D34" s="2" t="s">
        <v>88</v>
      </c>
      <c r="E34" s="2"/>
      <c r="F34" s="27" t="s">
        <v>268</v>
      </c>
      <c r="G34" s="28" t="s">
        <v>249</v>
      </c>
      <c r="H34" s="6">
        <v>42712</v>
      </c>
      <c r="I34" s="10"/>
      <c r="J34" s="2"/>
      <c r="K34" s="10"/>
      <c r="L34" s="28"/>
      <c r="M34" s="6"/>
      <c r="N34" s="2"/>
    </row>
    <row r="35" spans="1:14" ht="25.5" hidden="1" x14ac:dyDescent="0.2">
      <c r="A35" s="45">
        <v>20160</v>
      </c>
      <c r="B35" s="27" t="s">
        <v>293</v>
      </c>
      <c r="C35" s="10"/>
      <c r="D35" s="2" t="s">
        <v>88</v>
      </c>
      <c r="E35" s="2"/>
      <c r="F35" s="27" t="s">
        <v>268</v>
      </c>
      <c r="G35" s="28" t="s">
        <v>249</v>
      </c>
      <c r="H35" s="6">
        <v>42712</v>
      </c>
      <c r="I35" s="10"/>
      <c r="J35" s="2"/>
      <c r="K35" s="10"/>
      <c r="L35" s="28"/>
      <c r="M35" s="6"/>
      <c r="N35" s="2"/>
    </row>
    <row r="36" spans="1:14" ht="25.5" hidden="1" x14ac:dyDescent="0.2">
      <c r="A36" s="45">
        <v>20170</v>
      </c>
      <c r="B36" s="27" t="s">
        <v>294</v>
      </c>
      <c r="C36" s="28"/>
      <c r="D36" s="2" t="s">
        <v>88</v>
      </c>
      <c r="E36" s="2"/>
      <c r="F36" s="27" t="s">
        <v>268</v>
      </c>
      <c r="G36" s="28" t="s">
        <v>249</v>
      </c>
      <c r="H36" s="6">
        <v>42712</v>
      </c>
      <c r="I36" s="10"/>
      <c r="J36" s="2"/>
      <c r="K36" s="10"/>
      <c r="L36" s="28"/>
      <c r="M36" s="6"/>
      <c r="N36" s="2"/>
    </row>
    <row r="37" spans="1:14" ht="25.5" hidden="1" x14ac:dyDescent="0.2">
      <c r="A37" s="45">
        <v>20180</v>
      </c>
      <c r="B37" s="27" t="s">
        <v>91</v>
      </c>
      <c r="C37" s="10"/>
      <c r="D37" s="2" t="s">
        <v>88</v>
      </c>
      <c r="E37" s="2"/>
      <c r="F37" s="27" t="s">
        <v>268</v>
      </c>
      <c r="G37" s="28" t="s">
        <v>249</v>
      </c>
      <c r="H37" s="6">
        <v>42712</v>
      </c>
      <c r="I37" s="10"/>
      <c r="J37" s="2"/>
      <c r="K37" s="10"/>
      <c r="L37" s="28"/>
      <c r="M37" s="6"/>
      <c r="N37" s="2"/>
    </row>
    <row r="38" spans="1:14" ht="25.5" hidden="1" x14ac:dyDescent="0.2">
      <c r="A38" s="45">
        <v>20190</v>
      </c>
      <c r="B38" s="27" t="s">
        <v>92</v>
      </c>
      <c r="C38" s="10"/>
      <c r="D38" s="2" t="s">
        <v>88</v>
      </c>
      <c r="E38" s="2"/>
      <c r="F38" s="27" t="s">
        <v>268</v>
      </c>
      <c r="G38" s="28" t="s">
        <v>249</v>
      </c>
      <c r="H38" s="6">
        <v>42712</v>
      </c>
      <c r="I38" s="10"/>
      <c r="J38" s="2"/>
      <c r="K38" s="10"/>
      <c r="L38" s="28"/>
      <c r="M38" s="6"/>
      <c r="N38" s="2"/>
    </row>
    <row r="39" spans="1:14" ht="25.5" hidden="1" x14ac:dyDescent="0.2">
      <c r="A39" s="45">
        <v>20200</v>
      </c>
      <c r="B39" s="27" t="s">
        <v>93</v>
      </c>
      <c r="C39" s="10"/>
      <c r="D39" s="2" t="s">
        <v>88</v>
      </c>
      <c r="E39" s="2"/>
      <c r="F39" s="27" t="s">
        <v>268</v>
      </c>
      <c r="G39" s="28" t="s">
        <v>249</v>
      </c>
      <c r="H39" s="6">
        <v>42712</v>
      </c>
      <c r="I39" s="10"/>
      <c r="J39" s="2"/>
      <c r="K39" s="10"/>
      <c r="L39" s="28"/>
      <c r="M39" s="6"/>
      <c r="N39" s="2"/>
    </row>
    <row r="40" spans="1:14" ht="25.5" hidden="1" x14ac:dyDescent="0.2">
      <c r="A40" s="45">
        <v>20210</v>
      </c>
      <c r="B40" s="27" t="s">
        <v>94</v>
      </c>
      <c r="C40" s="10"/>
      <c r="D40" s="2" t="s">
        <v>88</v>
      </c>
      <c r="E40" s="2"/>
      <c r="F40" s="27" t="s">
        <v>268</v>
      </c>
      <c r="G40" s="28" t="s">
        <v>249</v>
      </c>
      <c r="H40" s="6">
        <v>42712</v>
      </c>
      <c r="I40" s="10"/>
      <c r="J40" s="2"/>
      <c r="K40" s="10"/>
      <c r="L40" s="28"/>
      <c r="M40" s="6"/>
      <c r="N40" s="2"/>
    </row>
    <row r="41" spans="1:14" ht="25.5" hidden="1" x14ac:dyDescent="0.2">
      <c r="A41" s="45">
        <v>20220</v>
      </c>
      <c r="B41" s="27" t="s">
        <v>95</v>
      </c>
      <c r="C41" s="10"/>
      <c r="D41" s="2" t="s">
        <v>88</v>
      </c>
      <c r="E41" s="2"/>
      <c r="F41" s="27" t="s">
        <v>268</v>
      </c>
      <c r="G41" s="28" t="s">
        <v>249</v>
      </c>
      <c r="H41" s="6">
        <v>42712</v>
      </c>
      <c r="I41" s="10"/>
      <c r="J41" s="2"/>
      <c r="K41" s="10"/>
      <c r="L41" s="28"/>
      <c r="M41" s="6"/>
      <c r="N41" s="2"/>
    </row>
    <row r="42" spans="1:14" ht="25.5" hidden="1" x14ac:dyDescent="0.2">
      <c r="A42" s="45">
        <v>20230</v>
      </c>
      <c r="B42" s="27" t="s">
        <v>96</v>
      </c>
      <c r="C42" s="10"/>
      <c r="D42" s="2" t="s">
        <v>88</v>
      </c>
      <c r="E42" s="2"/>
      <c r="F42" s="27" t="s">
        <v>268</v>
      </c>
      <c r="G42" s="28" t="s">
        <v>249</v>
      </c>
      <c r="H42" s="6">
        <v>42712</v>
      </c>
      <c r="I42" s="10"/>
      <c r="J42" s="2"/>
      <c r="K42" s="10"/>
      <c r="L42" s="28"/>
      <c r="M42" s="6"/>
      <c r="N42" s="2"/>
    </row>
    <row r="43" spans="1:14" ht="25.5" hidden="1" x14ac:dyDescent="0.2">
      <c r="A43" s="45">
        <v>20240</v>
      </c>
      <c r="B43" s="27" t="s">
        <v>97</v>
      </c>
      <c r="C43" s="10"/>
      <c r="D43" s="27" t="s">
        <v>98</v>
      </c>
      <c r="E43" s="2"/>
      <c r="F43" s="27" t="s">
        <v>295</v>
      </c>
      <c r="G43" s="28" t="s">
        <v>249</v>
      </c>
      <c r="H43" s="6">
        <v>42712</v>
      </c>
      <c r="I43" s="10"/>
      <c r="J43" s="2"/>
      <c r="K43" s="10"/>
      <c r="L43" s="28" t="s">
        <v>262</v>
      </c>
      <c r="M43" s="6">
        <v>42713</v>
      </c>
      <c r="N43" s="2"/>
    </row>
    <row r="44" spans="1:14" ht="25.5" hidden="1" x14ac:dyDescent="0.2">
      <c r="A44" s="45">
        <v>20260</v>
      </c>
      <c r="B44" s="27" t="s">
        <v>77</v>
      </c>
      <c r="C44" s="10"/>
      <c r="D44" s="27" t="s">
        <v>281</v>
      </c>
      <c r="E44" s="2"/>
      <c r="F44" s="27" t="s">
        <v>268</v>
      </c>
      <c r="G44" s="28" t="s">
        <v>249</v>
      </c>
      <c r="H44" s="6">
        <v>42712</v>
      </c>
      <c r="I44" s="10"/>
      <c r="J44" s="2"/>
      <c r="K44" s="10"/>
      <c r="L44" s="28"/>
      <c r="M44" s="6"/>
      <c r="N44" s="2"/>
    </row>
    <row r="45" spans="1:14" x14ac:dyDescent="0.2">
      <c r="A45" s="45">
        <v>30000</v>
      </c>
      <c r="B45" s="27" t="s">
        <v>99</v>
      </c>
      <c r="C45" s="28"/>
      <c r="D45" s="2"/>
      <c r="E45" s="2"/>
      <c r="F45" s="27"/>
      <c r="G45" s="28"/>
      <c r="H45" s="6"/>
      <c r="I45" s="10"/>
      <c r="J45" s="2"/>
      <c r="K45" s="10"/>
      <c r="L45" s="28"/>
      <c r="M45" s="6"/>
      <c r="N45" s="2"/>
    </row>
    <row r="46" spans="1:14" ht="25.5" hidden="1" x14ac:dyDescent="0.2">
      <c r="A46" s="45">
        <v>30010</v>
      </c>
      <c r="B46" s="27" t="s">
        <v>296</v>
      </c>
      <c r="C46" s="28"/>
      <c r="D46" s="27" t="s">
        <v>100</v>
      </c>
      <c r="E46" s="2"/>
      <c r="F46" s="27" t="s">
        <v>268</v>
      </c>
      <c r="G46" s="28" t="s">
        <v>249</v>
      </c>
      <c r="H46" s="6">
        <v>42712</v>
      </c>
      <c r="I46" s="10"/>
      <c r="J46" s="2"/>
      <c r="K46" s="10"/>
      <c r="L46" s="28"/>
      <c r="M46" s="6"/>
      <c r="N46" s="2"/>
    </row>
    <row r="47" spans="1:14" ht="25.5" hidden="1" x14ac:dyDescent="0.2">
      <c r="A47" s="45">
        <v>30020</v>
      </c>
      <c r="B47" s="27" t="s">
        <v>101</v>
      </c>
      <c r="C47" s="28"/>
      <c r="D47" s="27" t="s">
        <v>102</v>
      </c>
      <c r="E47" s="2"/>
      <c r="F47" s="27" t="s">
        <v>268</v>
      </c>
      <c r="G47" s="28" t="s">
        <v>249</v>
      </c>
      <c r="H47" s="6">
        <v>42712</v>
      </c>
      <c r="I47" s="10"/>
      <c r="J47" s="2"/>
      <c r="K47" s="10"/>
      <c r="L47" s="28"/>
      <c r="M47" s="6"/>
      <c r="N47" s="2"/>
    </row>
    <row r="48" spans="1:14" ht="25.5" hidden="1" x14ac:dyDescent="0.2">
      <c r="A48" s="45">
        <v>30030</v>
      </c>
      <c r="B48" s="27" t="s">
        <v>297</v>
      </c>
      <c r="C48" s="10"/>
      <c r="D48" s="27" t="s">
        <v>298</v>
      </c>
      <c r="E48" s="2"/>
      <c r="F48" s="27" t="s">
        <v>268</v>
      </c>
      <c r="G48" s="28" t="s">
        <v>249</v>
      </c>
      <c r="H48" s="6">
        <v>42712</v>
      </c>
      <c r="I48" s="10"/>
      <c r="J48" s="2"/>
      <c r="K48" s="10"/>
      <c r="L48" s="28"/>
      <c r="M48" s="6"/>
      <c r="N48" s="2"/>
    </row>
    <row r="49" spans="1:14" ht="25.5" hidden="1" x14ac:dyDescent="0.2">
      <c r="A49" s="45">
        <v>30040</v>
      </c>
      <c r="B49" s="27" t="s">
        <v>77</v>
      </c>
      <c r="C49" s="10"/>
      <c r="D49" s="27" t="s">
        <v>299</v>
      </c>
      <c r="E49" s="2"/>
      <c r="F49" s="27" t="s">
        <v>268</v>
      </c>
      <c r="G49" s="28" t="s">
        <v>249</v>
      </c>
      <c r="H49" s="6">
        <v>42712</v>
      </c>
      <c r="I49" s="10"/>
      <c r="J49" s="2"/>
      <c r="K49" s="10"/>
      <c r="L49" s="28"/>
      <c r="M49" s="6"/>
      <c r="N49" s="2"/>
    </row>
    <row r="50" spans="1:14" x14ac:dyDescent="0.2">
      <c r="A50" s="45">
        <v>40000</v>
      </c>
      <c r="B50" s="27" t="s">
        <v>103</v>
      </c>
      <c r="C50" s="28"/>
      <c r="D50" s="2"/>
      <c r="E50" s="2"/>
      <c r="F50" s="27"/>
      <c r="G50" s="28"/>
      <c r="H50" s="6"/>
      <c r="I50" s="10"/>
      <c r="J50" s="2"/>
      <c r="K50" s="10"/>
      <c r="L50" s="28"/>
      <c r="M50" s="6"/>
      <c r="N50" s="2"/>
    </row>
    <row r="51" spans="1:14" ht="38.25" hidden="1" x14ac:dyDescent="0.2">
      <c r="A51" s="45">
        <v>40010</v>
      </c>
      <c r="B51" s="27" t="s">
        <v>104</v>
      </c>
      <c r="C51" s="28"/>
      <c r="D51" s="31" t="s">
        <v>300</v>
      </c>
      <c r="E51" s="2"/>
      <c r="F51" s="27" t="s">
        <v>268</v>
      </c>
      <c r="G51" s="28" t="s">
        <v>249</v>
      </c>
      <c r="H51" s="6">
        <v>42712</v>
      </c>
      <c r="I51" s="10"/>
      <c r="J51" s="2"/>
      <c r="K51" s="10"/>
      <c r="L51" s="28"/>
      <c r="M51" s="6"/>
      <c r="N51" s="2"/>
    </row>
    <row r="52" spans="1:14" ht="38.25" hidden="1" x14ac:dyDescent="0.2">
      <c r="A52" s="45">
        <v>40020</v>
      </c>
      <c r="B52" s="27" t="s">
        <v>105</v>
      </c>
      <c r="C52" s="28"/>
      <c r="D52" s="27" t="s">
        <v>301</v>
      </c>
      <c r="E52" s="2"/>
      <c r="F52" s="27" t="s">
        <v>268</v>
      </c>
      <c r="G52" s="28" t="s">
        <v>249</v>
      </c>
      <c r="H52" s="6">
        <v>42712</v>
      </c>
      <c r="I52" s="10"/>
      <c r="J52" s="2"/>
      <c r="K52" s="10"/>
      <c r="L52" s="28"/>
      <c r="M52" s="6"/>
      <c r="N52" s="2"/>
    </row>
    <row r="53" spans="1:14" ht="51" hidden="1" x14ac:dyDescent="0.2">
      <c r="A53" s="45">
        <v>40030</v>
      </c>
      <c r="B53" s="27" t="s">
        <v>302</v>
      </c>
      <c r="C53" s="28"/>
      <c r="D53" s="27" t="s">
        <v>303</v>
      </c>
      <c r="E53" s="2"/>
      <c r="F53" s="27" t="s">
        <v>268</v>
      </c>
      <c r="G53" s="28" t="s">
        <v>249</v>
      </c>
      <c r="H53" s="6">
        <v>42712</v>
      </c>
      <c r="I53" s="10"/>
      <c r="J53" s="2"/>
      <c r="K53" s="10"/>
      <c r="L53" s="28"/>
      <c r="M53" s="6"/>
      <c r="N53" s="2"/>
    </row>
    <row r="54" spans="1:14" ht="38.25" hidden="1" x14ac:dyDescent="0.2">
      <c r="A54" s="45">
        <v>40040</v>
      </c>
      <c r="B54" s="27" t="s">
        <v>106</v>
      </c>
      <c r="C54" s="28"/>
      <c r="D54" s="27" t="s">
        <v>304</v>
      </c>
      <c r="E54" s="2"/>
      <c r="F54" s="27" t="s">
        <v>268</v>
      </c>
      <c r="G54" s="28" t="s">
        <v>249</v>
      </c>
      <c r="H54" s="6">
        <v>42712</v>
      </c>
      <c r="I54" s="10"/>
      <c r="J54" s="2"/>
      <c r="K54" s="10"/>
      <c r="L54" s="28"/>
      <c r="M54" s="6"/>
      <c r="N54" s="2"/>
    </row>
    <row r="55" spans="1:14" ht="25.5" hidden="1" x14ac:dyDescent="0.2">
      <c r="A55" s="45">
        <v>40050</v>
      </c>
      <c r="B55" s="27" t="s">
        <v>107</v>
      </c>
      <c r="C55" s="28"/>
      <c r="D55" s="27" t="s">
        <v>305</v>
      </c>
      <c r="E55" s="2"/>
      <c r="F55" s="27" t="s">
        <v>65</v>
      </c>
      <c r="G55" s="28" t="s">
        <v>249</v>
      </c>
      <c r="H55" s="6">
        <v>42712</v>
      </c>
      <c r="I55" s="10"/>
      <c r="J55" s="2"/>
      <c r="K55" s="10"/>
      <c r="L55" s="28"/>
      <c r="M55" s="6"/>
      <c r="N55" s="2"/>
    </row>
    <row r="56" spans="1:14" ht="25.5" hidden="1" x14ac:dyDescent="0.2">
      <c r="A56" s="45">
        <v>40060</v>
      </c>
      <c r="B56" s="27" t="s">
        <v>108</v>
      </c>
      <c r="C56" s="28"/>
      <c r="D56" s="27" t="s">
        <v>305</v>
      </c>
      <c r="E56" s="2"/>
      <c r="F56" s="27" t="s">
        <v>268</v>
      </c>
      <c r="G56" s="28" t="s">
        <v>249</v>
      </c>
      <c r="H56" s="6">
        <v>42712</v>
      </c>
      <c r="I56" s="10"/>
      <c r="J56" s="2"/>
      <c r="K56" s="10"/>
      <c r="L56" s="28"/>
      <c r="M56" s="6"/>
      <c r="N56" s="2"/>
    </row>
    <row r="57" spans="1:14" ht="25.5" hidden="1" x14ac:dyDescent="0.2">
      <c r="A57" s="45">
        <v>40070</v>
      </c>
      <c r="B57" s="27" t="s">
        <v>109</v>
      </c>
      <c r="C57" s="28"/>
      <c r="D57" s="27" t="s">
        <v>305</v>
      </c>
      <c r="E57" s="2"/>
      <c r="F57" s="27" t="s">
        <v>268</v>
      </c>
      <c r="G57" s="28" t="s">
        <v>249</v>
      </c>
      <c r="H57" s="6">
        <v>42712</v>
      </c>
      <c r="I57" s="10"/>
      <c r="J57" s="2"/>
      <c r="K57" s="10"/>
      <c r="L57" s="28"/>
      <c r="M57" s="6"/>
      <c r="N57" s="2"/>
    </row>
    <row r="58" spans="1:14" ht="25.5" hidden="1" x14ac:dyDescent="0.2">
      <c r="A58" s="45">
        <v>40080</v>
      </c>
      <c r="B58" s="27" t="s">
        <v>110</v>
      </c>
      <c r="C58" s="28"/>
      <c r="D58" s="27" t="s">
        <v>306</v>
      </c>
      <c r="E58" s="2"/>
      <c r="F58" s="27" t="s">
        <v>268</v>
      </c>
      <c r="G58" s="28" t="s">
        <v>249</v>
      </c>
      <c r="H58" s="6">
        <v>42712</v>
      </c>
      <c r="I58" s="10"/>
      <c r="J58" s="2"/>
      <c r="K58" s="10"/>
      <c r="L58" s="28"/>
      <c r="M58" s="6"/>
      <c r="N58" s="2"/>
    </row>
    <row r="59" spans="1:14" x14ac:dyDescent="0.2">
      <c r="A59" s="45">
        <v>50000</v>
      </c>
      <c r="B59" s="27" t="s">
        <v>111</v>
      </c>
      <c r="C59" s="28"/>
      <c r="D59" s="2"/>
      <c r="E59" s="2"/>
      <c r="F59" s="27"/>
      <c r="G59" s="28"/>
      <c r="H59" s="6"/>
      <c r="I59" s="10"/>
      <c r="J59" s="2"/>
      <c r="K59" s="10"/>
      <c r="L59" s="28"/>
      <c r="M59" s="6"/>
      <c r="N59" s="2"/>
    </row>
    <row r="60" spans="1:14" ht="25.5" hidden="1" x14ac:dyDescent="0.2">
      <c r="A60" s="45">
        <v>50010</v>
      </c>
      <c r="B60" s="27" t="s">
        <v>69</v>
      </c>
      <c r="C60" s="28"/>
      <c r="D60" s="27" t="s">
        <v>112</v>
      </c>
      <c r="E60" s="2"/>
      <c r="F60" s="27" t="s">
        <v>268</v>
      </c>
      <c r="G60" s="28" t="s">
        <v>249</v>
      </c>
      <c r="H60" s="6">
        <v>42712</v>
      </c>
      <c r="I60" s="10"/>
      <c r="J60" s="2"/>
      <c r="K60" s="10"/>
      <c r="L60" s="28"/>
      <c r="M60" s="6"/>
      <c r="N60" s="2"/>
    </row>
    <row r="61" spans="1:14" ht="38.25" hidden="1" x14ac:dyDescent="0.2">
      <c r="A61" s="45">
        <v>50020</v>
      </c>
      <c r="B61" s="27" t="s">
        <v>70</v>
      </c>
      <c r="C61" s="28"/>
      <c r="D61" s="27" t="s">
        <v>307</v>
      </c>
      <c r="E61" s="2"/>
      <c r="F61" s="27" t="s">
        <v>268</v>
      </c>
      <c r="G61" s="28" t="s">
        <v>249</v>
      </c>
      <c r="H61" s="6">
        <v>42712</v>
      </c>
      <c r="I61" s="10"/>
      <c r="J61" s="2"/>
      <c r="K61" s="10"/>
      <c r="L61" s="28"/>
      <c r="M61" s="6"/>
      <c r="N61" s="2"/>
    </row>
    <row r="62" spans="1:14" ht="38.25" hidden="1" x14ac:dyDescent="0.2">
      <c r="A62" s="45">
        <v>50030</v>
      </c>
      <c r="B62" s="27" t="s">
        <v>71</v>
      </c>
      <c r="C62" s="10"/>
      <c r="D62" s="27" t="s">
        <v>308</v>
      </c>
      <c r="E62" s="2"/>
      <c r="F62" s="27" t="s">
        <v>268</v>
      </c>
      <c r="G62" s="28" t="s">
        <v>249</v>
      </c>
      <c r="H62" s="6">
        <v>42712</v>
      </c>
      <c r="I62" s="10"/>
      <c r="J62" s="2"/>
      <c r="K62" s="10"/>
      <c r="L62" s="28"/>
      <c r="M62" s="6"/>
      <c r="N62" s="2"/>
    </row>
    <row r="63" spans="1:14" ht="38.25" hidden="1" x14ac:dyDescent="0.2">
      <c r="A63" s="45">
        <v>50040</v>
      </c>
      <c r="B63" s="27" t="s">
        <v>113</v>
      </c>
      <c r="C63" s="10"/>
      <c r="D63" s="27" t="s">
        <v>309</v>
      </c>
      <c r="E63" s="2"/>
      <c r="F63" s="27" t="s">
        <v>268</v>
      </c>
      <c r="G63" s="28" t="s">
        <v>249</v>
      </c>
      <c r="H63" s="6">
        <v>42712</v>
      </c>
      <c r="I63" s="10"/>
      <c r="J63" s="2"/>
      <c r="K63" s="10"/>
      <c r="L63" s="28"/>
      <c r="M63" s="6"/>
      <c r="N63" s="2"/>
    </row>
    <row r="64" spans="1:14" ht="25.5" hidden="1" x14ac:dyDescent="0.2">
      <c r="A64" s="45">
        <v>50050</v>
      </c>
      <c r="B64" s="27" t="s">
        <v>114</v>
      </c>
      <c r="C64" s="10"/>
      <c r="D64" s="27" t="s">
        <v>310</v>
      </c>
      <c r="E64" s="2"/>
      <c r="F64" s="27" t="s">
        <v>268</v>
      </c>
      <c r="G64" s="28" t="s">
        <v>249</v>
      </c>
      <c r="H64" s="6">
        <v>42712</v>
      </c>
      <c r="I64" s="10"/>
      <c r="J64" s="2"/>
      <c r="K64" s="10"/>
      <c r="L64" s="28"/>
      <c r="M64" s="6"/>
      <c r="N64" s="2"/>
    </row>
    <row r="65" spans="1:14" hidden="1" x14ac:dyDescent="0.2">
      <c r="A65" s="45">
        <v>50060</v>
      </c>
      <c r="B65" s="27" t="s">
        <v>115</v>
      </c>
      <c r="C65" s="10"/>
      <c r="D65" s="27" t="s">
        <v>311</v>
      </c>
      <c r="E65" s="2"/>
      <c r="F65" s="27" t="s">
        <v>268</v>
      </c>
      <c r="G65" s="28" t="s">
        <v>249</v>
      </c>
      <c r="H65" s="6">
        <v>42712</v>
      </c>
      <c r="I65" s="10"/>
      <c r="J65" s="2"/>
      <c r="K65" s="10"/>
      <c r="L65" s="28"/>
      <c r="M65" s="6"/>
      <c r="N65" s="2"/>
    </row>
    <row r="66" spans="1:14" ht="63.75" hidden="1" x14ac:dyDescent="0.2">
      <c r="A66" s="45">
        <v>50070</v>
      </c>
      <c r="B66" s="27" t="s">
        <v>116</v>
      </c>
      <c r="C66" s="10"/>
      <c r="D66" s="27" t="s">
        <v>117</v>
      </c>
      <c r="E66" s="2"/>
      <c r="F66" s="27" t="s">
        <v>251</v>
      </c>
      <c r="G66" s="28" t="s">
        <v>249</v>
      </c>
      <c r="H66" s="6">
        <v>42712</v>
      </c>
      <c r="I66" s="10"/>
      <c r="J66" s="2"/>
      <c r="K66" s="10"/>
      <c r="L66" s="28" t="s">
        <v>262</v>
      </c>
      <c r="M66" s="6">
        <v>42713</v>
      </c>
      <c r="N66" s="2"/>
    </row>
    <row r="67" spans="1:14" x14ac:dyDescent="0.2">
      <c r="A67" s="45">
        <v>60000</v>
      </c>
      <c r="B67" s="27" t="s">
        <v>118</v>
      </c>
      <c r="C67" s="28"/>
      <c r="D67" s="2"/>
      <c r="E67" s="2"/>
      <c r="F67" s="27"/>
      <c r="G67" s="28"/>
      <c r="H67" s="6"/>
      <c r="I67" s="10"/>
      <c r="J67" s="2"/>
      <c r="K67" s="10"/>
      <c r="L67" s="28"/>
      <c r="M67" s="6"/>
      <c r="N67" s="2"/>
    </row>
    <row r="68" spans="1:14" ht="38.25" hidden="1" x14ac:dyDescent="0.2">
      <c r="A68" s="45">
        <v>60010</v>
      </c>
      <c r="B68" s="27" t="s">
        <v>119</v>
      </c>
      <c r="C68" s="28"/>
      <c r="D68" s="27" t="s">
        <v>312</v>
      </c>
      <c r="E68" s="2"/>
      <c r="F68" s="27" t="s">
        <v>268</v>
      </c>
      <c r="G68" s="28" t="s">
        <v>249</v>
      </c>
      <c r="H68" s="6">
        <v>42712</v>
      </c>
      <c r="I68" s="10"/>
      <c r="J68" s="2"/>
      <c r="K68" s="10"/>
      <c r="L68" s="28"/>
      <c r="M68" s="6"/>
      <c r="N68" s="2"/>
    </row>
    <row r="69" spans="1:14" ht="25.5" hidden="1" x14ac:dyDescent="0.2">
      <c r="A69" s="45">
        <v>60020</v>
      </c>
      <c r="B69" s="27" t="s">
        <v>120</v>
      </c>
      <c r="C69" s="28"/>
      <c r="D69" s="27" t="s">
        <v>313</v>
      </c>
      <c r="E69" s="2"/>
      <c r="F69" s="27" t="s">
        <v>268</v>
      </c>
      <c r="G69" s="28" t="s">
        <v>249</v>
      </c>
      <c r="H69" s="6">
        <v>42712</v>
      </c>
      <c r="I69" s="10"/>
      <c r="J69" s="2"/>
      <c r="K69" s="10"/>
      <c r="L69" s="28"/>
      <c r="M69" s="6"/>
      <c r="N69" s="2"/>
    </row>
    <row r="70" spans="1:14" ht="25.5" hidden="1" x14ac:dyDescent="0.2">
      <c r="A70" s="45">
        <v>60030</v>
      </c>
      <c r="B70" s="27" t="s">
        <v>121</v>
      </c>
      <c r="C70" s="28"/>
      <c r="D70" s="27" t="s">
        <v>313</v>
      </c>
      <c r="E70" s="2"/>
      <c r="F70" s="27" t="s">
        <v>268</v>
      </c>
      <c r="G70" s="28" t="s">
        <v>249</v>
      </c>
      <c r="H70" s="6">
        <v>42712</v>
      </c>
      <c r="I70" s="10"/>
      <c r="J70" s="2"/>
      <c r="K70" s="10"/>
      <c r="L70" s="28"/>
      <c r="M70" s="6"/>
      <c r="N70" s="2"/>
    </row>
    <row r="71" spans="1:14" ht="38.25" hidden="1" x14ac:dyDescent="0.2">
      <c r="A71" s="45">
        <v>60040</v>
      </c>
      <c r="B71" s="27" t="s">
        <v>314</v>
      </c>
      <c r="C71" s="28"/>
      <c r="D71" s="27" t="s">
        <v>315</v>
      </c>
      <c r="E71" s="2"/>
      <c r="F71" s="27" t="s">
        <v>268</v>
      </c>
      <c r="G71" s="28" t="s">
        <v>249</v>
      </c>
      <c r="H71" s="6">
        <v>42712</v>
      </c>
      <c r="I71" s="10"/>
      <c r="J71" s="2"/>
      <c r="K71" s="10"/>
      <c r="L71" s="28"/>
      <c r="M71" s="6"/>
      <c r="N71" s="2"/>
    </row>
    <row r="72" spans="1:14" ht="25.5" hidden="1" x14ac:dyDescent="0.2">
      <c r="A72" s="45">
        <v>60050</v>
      </c>
      <c r="B72" s="27" t="s">
        <v>122</v>
      </c>
      <c r="C72" s="28"/>
      <c r="D72" s="27" t="s">
        <v>313</v>
      </c>
      <c r="E72" s="2"/>
      <c r="F72" s="27" t="s">
        <v>268</v>
      </c>
      <c r="G72" s="28" t="s">
        <v>249</v>
      </c>
      <c r="H72" s="6">
        <v>42712</v>
      </c>
      <c r="I72" s="10"/>
      <c r="J72" s="2"/>
      <c r="K72" s="10"/>
      <c r="L72" s="28"/>
      <c r="M72" s="6"/>
      <c r="N72" s="2"/>
    </row>
    <row r="73" spans="1:14" ht="25.5" hidden="1" x14ac:dyDescent="0.2">
      <c r="A73" s="45">
        <v>60060</v>
      </c>
      <c r="B73" s="27" t="s">
        <v>123</v>
      </c>
      <c r="C73" s="28"/>
      <c r="D73" s="27" t="s">
        <v>313</v>
      </c>
      <c r="E73" s="2"/>
      <c r="F73" s="27" t="s">
        <v>268</v>
      </c>
      <c r="G73" s="28" t="s">
        <v>249</v>
      </c>
      <c r="H73" s="6">
        <v>42712</v>
      </c>
      <c r="I73" s="10"/>
      <c r="J73" s="2"/>
      <c r="K73" s="10"/>
      <c r="L73" s="28"/>
      <c r="M73" s="6"/>
      <c r="N73" s="2"/>
    </row>
    <row r="74" spans="1:14" ht="38.25" hidden="1" x14ac:dyDescent="0.2">
      <c r="A74" s="45">
        <v>60070</v>
      </c>
      <c r="B74" s="27" t="s">
        <v>124</v>
      </c>
      <c r="C74" s="28"/>
      <c r="D74" s="27" t="s">
        <v>273</v>
      </c>
      <c r="E74" s="2"/>
      <c r="F74" s="27" t="s">
        <v>268</v>
      </c>
      <c r="G74" s="28" t="s">
        <v>249</v>
      </c>
      <c r="H74" s="6">
        <v>42712</v>
      </c>
      <c r="I74" s="10"/>
      <c r="J74" s="2"/>
      <c r="K74" s="10"/>
      <c r="L74" s="28"/>
      <c r="M74" s="6"/>
      <c r="N74" s="2"/>
    </row>
    <row r="75" spans="1:14" ht="25.5" hidden="1" x14ac:dyDescent="0.2">
      <c r="A75" s="45">
        <v>60080</v>
      </c>
      <c r="B75" s="27" t="s">
        <v>125</v>
      </c>
      <c r="C75" s="28"/>
      <c r="D75" s="27" t="s">
        <v>316</v>
      </c>
      <c r="E75" s="2"/>
      <c r="F75" s="27" t="s">
        <v>268</v>
      </c>
      <c r="G75" s="28" t="s">
        <v>249</v>
      </c>
      <c r="H75" s="6">
        <v>42712</v>
      </c>
      <c r="I75" s="10"/>
      <c r="J75" s="2"/>
      <c r="K75" s="10"/>
      <c r="L75" s="28"/>
      <c r="M75" s="6"/>
      <c r="N75" s="2"/>
    </row>
    <row r="76" spans="1:14" ht="51" hidden="1" x14ac:dyDescent="0.2">
      <c r="A76" s="45">
        <v>60090</v>
      </c>
      <c r="B76" s="27" t="s">
        <v>126</v>
      </c>
      <c r="C76" s="28"/>
      <c r="D76" s="27" t="s">
        <v>317</v>
      </c>
      <c r="E76" s="2"/>
      <c r="F76" s="27" t="s">
        <v>268</v>
      </c>
      <c r="G76" s="28" t="s">
        <v>249</v>
      </c>
      <c r="H76" s="6">
        <v>42712</v>
      </c>
      <c r="I76" s="10"/>
      <c r="J76" s="2"/>
      <c r="K76" s="10"/>
      <c r="L76" s="28"/>
      <c r="M76" s="6"/>
      <c r="N76" s="2"/>
    </row>
    <row r="77" spans="1:14" ht="38.25" hidden="1" x14ac:dyDescent="0.2">
      <c r="A77" s="45">
        <v>60100</v>
      </c>
      <c r="B77" s="27" t="s">
        <v>127</v>
      </c>
      <c r="C77" s="28"/>
      <c r="D77" s="27" t="s">
        <v>318</v>
      </c>
      <c r="E77" s="2"/>
      <c r="F77" s="27" t="s">
        <v>252</v>
      </c>
      <c r="G77" s="28" t="s">
        <v>249</v>
      </c>
      <c r="H77" s="6">
        <v>42712</v>
      </c>
      <c r="I77" s="10"/>
      <c r="J77" s="2"/>
      <c r="K77" s="10"/>
      <c r="L77" s="28" t="s">
        <v>261</v>
      </c>
      <c r="M77" s="6">
        <v>42713</v>
      </c>
      <c r="N77" s="2"/>
    </row>
    <row r="78" spans="1:14" ht="38.25" hidden="1" x14ac:dyDescent="0.2">
      <c r="A78" s="45">
        <v>60110</v>
      </c>
      <c r="B78" s="27" t="s">
        <v>319</v>
      </c>
      <c r="C78" s="10"/>
      <c r="D78" s="27" t="s">
        <v>320</v>
      </c>
      <c r="E78" s="2"/>
      <c r="F78" s="27" t="s">
        <v>268</v>
      </c>
      <c r="G78" s="28" t="s">
        <v>249</v>
      </c>
      <c r="H78" s="6">
        <v>42712</v>
      </c>
      <c r="I78" s="10"/>
      <c r="J78" s="2"/>
      <c r="K78" s="10"/>
      <c r="L78" s="28"/>
      <c r="M78" s="6"/>
      <c r="N78" s="2"/>
    </row>
    <row r="79" spans="1:14" ht="25.5" hidden="1" x14ac:dyDescent="0.2">
      <c r="A79" s="45">
        <v>60120</v>
      </c>
      <c r="B79" s="27" t="s">
        <v>321</v>
      </c>
      <c r="C79" s="10"/>
      <c r="D79" s="27" t="s">
        <v>128</v>
      </c>
      <c r="E79" s="2"/>
      <c r="F79" s="27" t="s">
        <v>268</v>
      </c>
      <c r="G79" s="28" t="s">
        <v>249</v>
      </c>
      <c r="H79" s="6">
        <v>42712</v>
      </c>
      <c r="I79" s="10"/>
      <c r="J79" s="2"/>
      <c r="K79" s="10"/>
      <c r="L79" s="28"/>
      <c r="M79" s="6"/>
      <c r="N79" s="2"/>
    </row>
    <row r="80" spans="1:14" ht="38.25" hidden="1" x14ac:dyDescent="0.2">
      <c r="A80" s="45">
        <v>60130</v>
      </c>
      <c r="B80" s="27" t="s">
        <v>129</v>
      </c>
      <c r="C80" s="10"/>
      <c r="D80" s="27" t="s">
        <v>322</v>
      </c>
      <c r="E80" s="2"/>
      <c r="F80" s="27" t="s">
        <v>268</v>
      </c>
      <c r="G80" s="28" t="s">
        <v>242</v>
      </c>
      <c r="H80" s="6">
        <v>42712</v>
      </c>
      <c r="I80" s="10"/>
      <c r="J80" s="2"/>
      <c r="K80" s="10"/>
      <c r="L80" s="28"/>
      <c r="M80" s="6"/>
      <c r="N80" s="2"/>
    </row>
    <row r="81" spans="1:14" hidden="1" x14ac:dyDescent="0.2">
      <c r="A81" s="45">
        <v>60140</v>
      </c>
      <c r="B81" s="27" t="s">
        <v>130</v>
      </c>
      <c r="C81" s="10"/>
      <c r="D81" s="27" t="s">
        <v>131</v>
      </c>
      <c r="E81" s="2"/>
      <c r="F81" s="27" t="s">
        <v>268</v>
      </c>
      <c r="G81" s="28" t="s">
        <v>249</v>
      </c>
      <c r="H81" s="6">
        <v>42712</v>
      </c>
      <c r="I81" s="10"/>
      <c r="J81" s="2"/>
      <c r="K81" s="10"/>
      <c r="L81" s="28"/>
      <c r="M81" s="6"/>
      <c r="N81" s="2"/>
    </row>
    <row r="82" spans="1:14" hidden="1" x14ac:dyDescent="0.2">
      <c r="A82" s="45">
        <v>60150</v>
      </c>
      <c r="B82" s="27" t="s">
        <v>132</v>
      </c>
      <c r="C82" s="10"/>
      <c r="D82" s="27" t="s">
        <v>133</v>
      </c>
      <c r="E82" s="2"/>
      <c r="F82" s="27" t="s">
        <v>268</v>
      </c>
      <c r="G82" s="28" t="s">
        <v>249</v>
      </c>
      <c r="H82" s="6">
        <v>42712</v>
      </c>
      <c r="I82" s="10"/>
      <c r="J82" s="2"/>
      <c r="K82" s="10"/>
      <c r="L82" s="28"/>
      <c r="M82" s="6"/>
      <c r="N82" s="2"/>
    </row>
    <row r="83" spans="1:14" hidden="1" x14ac:dyDescent="0.2">
      <c r="A83" s="45">
        <v>60160</v>
      </c>
      <c r="B83" s="27" t="s">
        <v>134</v>
      </c>
      <c r="C83" s="10"/>
      <c r="D83" s="27" t="s">
        <v>135</v>
      </c>
      <c r="E83" s="2"/>
      <c r="F83" s="27" t="s">
        <v>268</v>
      </c>
      <c r="G83" s="28" t="s">
        <v>249</v>
      </c>
      <c r="H83" s="6">
        <v>42712</v>
      </c>
      <c r="I83" s="10"/>
      <c r="J83" s="2"/>
      <c r="K83" s="10"/>
      <c r="L83" s="28"/>
      <c r="M83" s="6"/>
      <c r="N83" s="2"/>
    </row>
    <row r="84" spans="1:14" ht="25.5" hidden="1" x14ac:dyDescent="0.2">
      <c r="A84" s="45">
        <v>60170</v>
      </c>
      <c r="B84" s="27" t="s">
        <v>136</v>
      </c>
      <c r="C84" s="10"/>
      <c r="D84" s="27" t="s">
        <v>137</v>
      </c>
      <c r="E84" s="2"/>
      <c r="F84" s="27" t="s">
        <v>268</v>
      </c>
      <c r="G84" s="28" t="s">
        <v>249</v>
      </c>
      <c r="H84" s="6">
        <v>42712</v>
      </c>
      <c r="I84" s="10"/>
      <c r="J84" s="2"/>
      <c r="K84" s="10"/>
      <c r="L84" s="28"/>
      <c r="M84" s="6"/>
      <c r="N84" s="2"/>
    </row>
    <row r="85" spans="1:14" ht="25.5" hidden="1" x14ac:dyDescent="0.2">
      <c r="A85" s="45">
        <v>60180</v>
      </c>
      <c r="B85" s="27" t="s">
        <v>138</v>
      </c>
      <c r="C85" s="10"/>
      <c r="D85" s="27" t="s">
        <v>323</v>
      </c>
      <c r="E85" s="2"/>
      <c r="F85" s="27" t="s">
        <v>268</v>
      </c>
      <c r="G85" s="28" t="s">
        <v>249</v>
      </c>
      <c r="H85" s="6">
        <v>42712</v>
      </c>
      <c r="I85" s="10"/>
      <c r="J85" s="2"/>
      <c r="K85" s="10"/>
      <c r="L85" s="28"/>
      <c r="M85" s="6"/>
      <c r="N85" s="2"/>
    </row>
    <row r="86" spans="1:14" x14ac:dyDescent="0.2">
      <c r="A86" s="45">
        <v>70000</v>
      </c>
      <c r="B86" s="27" t="s">
        <v>139</v>
      </c>
      <c r="C86" s="28"/>
      <c r="D86" s="2"/>
      <c r="E86" s="2"/>
      <c r="F86" s="27"/>
      <c r="G86" s="28"/>
      <c r="H86" s="6"/>
      <c r="I86" s="10"/>
      <c r="J86" s="2"/>
      <c r="K86" s="10"/>
      <c r="L86" s="28"/>
      <c r="M86" s="6"/>
      <c r="N86" s="2"/>
    </row>
    <row r="87" spans="1:14" ht="51" hidden="1" x14ac:dyDescent="0.2">
      <c r="A87" s="45">
        <v>70010</v>
      </c>
      <c r="B87" s="27" t="s">
        <v>140</v>
      </c>
      <c r="C87" s="28"/>
      <c r="D87" s="27" t="s">
        <v>324</v>
      </c>
      <c r="E87" s="2"/>
      <c r="F87" s="27" t="s">
        <v>253</v>
      </c>
      <c r="G87" s="28" t="s">
        <v>242</v>
      </c>
      <c r="H87" s="6">
        <v>42712</v>
      </c>
      <c r="I87" s="10"/>
      <c r="J87" s="2"/>
      <c r="K87" s="10"/>
      <c r="L87" s="28" t="s">
        <v>261</v>
      </c>
      <c r="M87" s="6">
        <v>42713</v>
      </c>
      <c r="N87" s="2"/>
    </row>
    <row r="88" spans="1:14" ht="51" hidden="1" x14ac:dyDescent="0.2">
      <c r="A88" s="45">
        <v>70020</v>
      </c>
      <c r="B88" s="27" t="s">
        <v>141</v>
      </c>
      <c r="C88" s="28"/>
      <c r="D88" s="27" t="s">
        <v>142</v>
      </c>
      <c r="E88" s="2"/>
      <c r="F88" s="27" t="s">
        <v>268</v>
      </c>
      <c r="G88" s="28" t="s">
        <v>249</v>
      </c>
      <c r="H88" s="6">
        <v>42712</v>
      </c>
      <c r="I88" s="10"/>
      <c r="J88" s="2"/>
      <c r="K88" s="10"/>
      <c r="L88" s="28"/>
      <c r="M88" s="6"/>
      <c r="N88" s="2"/>
    </row>
    <row r="89" spans="1:14" ht="38.25" hidden="1" x14ac:dyDescent="0.2">
      <c r="A89" s="45">
        <v>70030</v>
      </c>
      <c r="B89" s="27" t="s">
        <v>143</v>
      </c>
      <c r="C89" s="28"/>
      <c r="D89" s="27" t="s">
        <v>144</v>
      </c>
      <c r="E89" s="2"/>
      <c r="F89" s="27" t="s">
        <v>268</v>
      </c>
      <c r="G89" s="28" t="s">
        <v>249</v>
      </c>
      <c r="H89" s="6">
        <v>42712</v>
      </c>
      <c r="I89" s="10"/>
      <c r="J89" s="2"/>
      <c r="K89" s="10"/>
      <c r="L89" s="28"/>
      <c r="M89" s="6"/>
      <c r="N89" s="2"/>
    </row>
    <row r="90" spans="1:14" x14ac:dyDescent="0.2">
      <c r="A90" s="45">
        <v>80000</v>
      </c>
      <c r="B90" s="27" t="s">
        <v>325</v>
      </c>
      <c r="C90" s="28"/>
      <c r="D90" s="2"/>
      <c r="E90" s="2"/>
      <c r="F90" s="27"/>
      <c r="G90" s="28"/>
      <c r="H90" s="6"/>
      <c r="I90" s="10"/>
      <c r="J90" s="2"/>
      <c r="K90" s="10"/>
      <c r="L90" s="28"/>
      <c r="M90" s="6"/>
      <c r="N90" s="2"/>
    </row>
    <row r="91" spans="1:14" ht="38.25" hidden="1" x14ac:dyDescent="0.2">
      <c r="A91" s="45">
        <v>80010</v>
      </c>
      <c r="B91" s="27" t="s">
        <v>145</v>
      </c>
      <c r="C91" s="28"/>
      <c r="D91" s="27" t="s">
        <v>326</v>
      </c>
      <c r="E91" s="2"/>
      <c r="F91" s="27" t="s">
        <v>268</v>
      </c>
      <c r="G91" s="28" t="s">
        <v>242</v>
      </c>
      <c r="H91" s="6">
        <v>42712</v>
      </c>
      <c r="I91" s="10"/>
      <c r="J91" s="2"/>
      <c r="K91" s="10"/>
      <c r="L91" s="28"/>
      <c r="M91" s="6"/>
      <c r="N91" s="2"/>
    </row>
    <row r="92" spans="1:14" ht="38.25" hidden="1" x14ac:dyDescent="0.2">
      <c r="A92" s="45">
        <v>80020</v>
      </c>
      <c r="B92" s="27" t="s">
        <v>146</v>
      </c>
      <c r="C92" s="28"/>
      <c r="D92" s="27" t="s">
        <v>327</v>
      </c>
      <c r="E92" s="2"/>
      <c r="F92" s="27" t="s">
        <v>268</v>
      </c>
      <c r="G92" s="28" t="s">
        <v>249</v>
      </c>
      <c r="H92" s="6">
        <v>42712</v>
      </c>
      <c r="I92" s="10"/>
      <c r="J92" s="2"/>
      <c r="K92" s="10"/>
      <c r="L92" s="28"/>
      <c r="M92" s="6"/>
      <c r="N92" s="2"/>
    </row>
    <row r="93" spans="1:14" ht="51" hidden="1" x14ac:dyDescent="0.2">
      <c r="A93" s="45">
        <v>80030</v>
      </c>
      <c r="B93" s="27" t="s">
        <v>147</v>
      </c>
      <c r="C93" s="28"/>
      <c r="D93" s="27" t="s">
        <v>328</v>
      </c>
      <c r="E93" s="2"/>
      <c r="F93" s="27" t="s">
        <v>268</v>
      </c>
      <c r="G93" s="28" t="s">
        <v>249</v>
      </c>
      <c r="H93" s="6">
        <v>42712</v>
      </c>
      <c r="I93" s="10"/>
      <c r="J93" s="2"/>
      <c r="K93" s="10"/>
      <c r="L93" s="28"/>
      <c r="M93" s="6"/>
      <c r="N93" s="2"/>
    </row>
    <row r="94" spans="1:14" ht="51" hidden="1" x14ac:dyDescent="0.2">
      <c r="A94" s="45">
        <v>80040</v>
      </c>
      <c r="B94" s="27" t="s">
        <v>148</v>
      </c>
      <c r="C94" s="28"/>
      <c r="D94" s="27" t="s">
        <v>329</v>
      </c>
      <c r="E94" s="2"/>
      <c r="F94" s="27" t="s">
        <v>268</v>
      </c>
      <c r="G94" s="28" t="s">
        <v>249</v>
      </c>
      <c r="H94" s="6">
        <v>42712</v>
      </c>
      <c r="I94" s="10"/>
      <c r="J94" s="2"/>
      <c r="K94" s="10"/>
      <c r="L94" s="28"/>
      <c r="M94" s="6"/>
      <c r="N94" s="2"/>
    </row>
    <row r="95" spans="1:14" ht="38.25" hidden="1" x14ac:dyDescent="0.2">
      <c r="A95" s="45">
        <v>80050</v>
      </c>
      <c r="B95" s="27" t="s">
        <v>149</v>
      </c>
      <c r="C95" s="28"/>
      <c r="D95" s="27" t="s">
        <v>330</v>
      </c>
      <c r="E95" s="2"/>
      <c r="F95" s="27" t="s">
        <v>268</v>
      </c>
      <c r="G95" s="28" t="s">
        <v>249</v>
      </c>
      <c r="H95" s="6">
        <v>42712</v>
      </c>
      <c r="I95" s="10"/>
      <c r="J95" s="2"/>
      <c r="K95" s="10"/>
      <c r="L95" s="28"/>
      <c r="M95" s="6"/>
      <c r="N95" s="2"/>
    </row>
    <row r="96" spans="1:14" ht="25.5" hidden="1" x14ac:dyDescent="0.2">
      <c r="A96" s="45">
        <v>80060</v>
      </c>
      <c r="B96" s="27" t="s">
        <v>150</v>
      </c>
      <c r="C96" s="28"/>
      <c r="D96" s="27" t="s">
        <v>331</v>
      </c>
      <c r="E96" s="2"/>
      <c r="F96" s="27" t="s">
        <v>268</v>
      </c>
      <c r="G96" s="28" t="s">
        <v>249</v>
      </c>
      <c r="H96" s="6">
        <v>42712</v>
      </c>
      <c r="I96" s="10"/>
      <c r="J96" s="2"/>
      <c r="K96" s="10"/>
      <c r="L96" s="28"/>
      <c r="M96" s="6"/>
      <c r="N96" s="2"/>
    </row>
    <row r="97" spans="1:14" ht="38.25" hidden="1" x14ac:dyDescent="0.2">
      <c r="A97" s="45">
        <v>80070</v>
      </c>
      <c r="B97" s="27" t="s">
        <v>151</v>
      </c>
      <c r="C97" s="28"/>
      <c r="D97" s="27" t="s">
        <v>332</v>
      </c>
      <c r="E97" s="2"/>
      <c r="F97" s="27" t="s">
        <v>268</v>
      </c>
      <c r="G97" s="28" t="s">
        <v>249</v>
      </c>
      <c r="H97" s="6">
        <v>42712</v>
      </c>
      <c r="I97" s="10"/>
      <c r="J97" s="2"/>
      <c r="K97" s="10"/>
      <c r="L97" s="28"/>
      <c r="M97" s="6"/>
      <c r="N97" s="2"/>
    </row>
    <row r="98" spans="1:14" ht="25.5" hidden="1" x14ac:dyDescent="0.2">
      <c r="A98" s="45">
        <v>80080</v>
      </c>
      <c r="B98" s="27" t="s">
        <v>152</v>
      </c>
      <c r="C98" s="28"/>
      <c r="D98" s="27" t="s">
        <v>333</v>
      </c>
      <c r="E98" s="2"/>
      <c r="F98" s="27" t="s">
        <v>268</v>
      </c>
      <c r="G98" s="28" t="s">
        <v>249</v>
      </c>
      <c r="H98" s="6">
        <v>42712</v>
      </c>
      <c r="I98" s="10"/>
      <c r="J98" s="2"/>
      <c r="K98" s="10"/>
      <c r="L98" s="28"/>
      <c r="M98" s="6"/>
      <c r="N98" s="2"/>
    </row>
    <row r="99" spans="1:14" ht="25.5" hidden="1" x14ac:dyDescent="0.2">
      <c r="A99" s="45">
        <v>80090</v>
      </c>
      <c r="B99" s="27" t="s">
        <v>334</v>
      </c>
      <c r="C99" s="28"/>
      <c r="D99" s="27" t="s">
        <v>335</v>
      </c>
      <c r="E99" s="2"/>
      <c r="F99" s="27" t="s">
        <v>268</v>
      </c>
      <c r="G99" s="28" t="s">
        <v>249</v>
      </c>
      <c r="H99" s="6">
        <v>42712</v>
      </c>
      <c r="I99" s="10"/>
      <c r="J99" s="2"/>
      <c r="K99" s="10"/>
      <c r="L99" s="28"/>
      <c r="M99" s="6"/>
      <c r="N99" s="2"/>
    </row>
    <row r="100" spans="1:14" ht="114.75" hidden="1" x14ac:dyDescent="0.2">
      <c r="A100" s="46">
        <v>80100</v>
      </c>
      <c r="B100" s="47" t="s">
        <v>336</v>
      </c>
      <c r="C100" s="48"/>
      <c r="D100" s="47" t="s">
        <v>337</v>
      </c>
      <c r="E100" s="49"/>
      <c r="F100" s="47" t="s">
        <v>338</v>
      </c>
      <c r="G100" s="48" t="s">
        <v>242</v>
      </c>
      <c r="H100" s="6">
        <v>42712</v>
      </c>
      <c r="I100" s="10"/>
      <c r="J100" s="2"/>
      <c r="K100" s="10"/>
      <c r="L100" s="28" t="s">
        <v>261</v>
      </c>
      <c r="M100" s="6">
        <v>42718</v>
      </c>
      <c r="N100" s="27" t="s">
        <v>470</v>
      </c>
    </row>
    <row r="101" spans="1:14" ht="25.5" hidden="1" x14ac:dyDescent="0.2">
      <c r="A101" s="45">
        <v>80110</v>
      </c>
      <c r="B101" s="27" t="s">
        <v>138</v>
      </c>
      <c r="C101" s="28"/>
      <c r="D101" s="27" t="s">
        <v>339</v>
      </c>
      <c r="E101" s="2"/>
      <c r="F101" s="27" t="s">
        <v>268</v>
      </c>
      <c r="G101" s="28" t="s">
        <v>242</v>
      </c>
      <c r="H101" s="6">
        <v>42712</v>
      </c>
      <c r="I101" s="10"/>
      <c r="J101" s="2"/>
      <c r="K101" s="10"/>
      <c r="L101" s="28"/>
      <c r="M101" s="6"/>
      <c r="N101" s="2"/>
    </row>
    <row r="102" spans="1:14" x14ac:dyDescent="0.2">
      <c r="A102" s="45">
        <v>90000</v>
      </c>
      <c r="B102" s="27" t="s">
        <v>153</v>
      </c>
      <c r="C102" s="28"/>
      <c r="D102" s="2"/>
      <c r="E102" s="2"/>
      <c r="F102" s="27"/>
      <c r="G102" s="28"/>
      <c r="H102" s="6"/>
      <c r="I102" s="10"/>
      <c r="J102" s="2"/>
      <c r="K102" s="10"/>
      <c r="L102" s="28"/>
      <c r="M102" s="6"/>
      <c r="N102" s="2"/>
    </row>
    <row r="103" spans="1:14" ht="25.5" hidden="1" x14ac:dyDescent="0.2">
      <c r="A103" s="45">
        <v>90010</v>
      </c>
      <c r="B103" s="27" t="s">
        <v>154</v>
      </c>
      <c r="C103" s="28"/>
      <c r="D103" s="27" t="s">
        <v>155</v>
      </c>
      <c r="E103" s="27" t="s">
        <v>236</v>
      </c>
      <c r="F103" s="27" t="s">
        <v>268</v>
      </c>
      <c r="G103" s="28" t="s">
        <v>242</v>
      </c>
      <c r="H103" s="6">
        <v>42712</v>
      </c>
      <c r="I103" s="10"/>
      <c r="J103" s="2"/>
      <c r="K103" s="10"/>
      <c r="L103" s="28"/>
      <c r="M103" s="6"/>
      <c r="N103" s="2"/>
    </row>
    <row r="104" spans="1:14" ht="38.25" hidden="1" x14ac:dyDescent="0.2">
      <c r="A104" s="45">
        <v>90020</v>
      </c>
      <c r="B104" s="27" t="s">
        <v>156</v>
      </c>
      <c r="C104" s="28"/>
      <c r="D104" s="27" t="s">
        <v>340</v>
      </c>
      <c r="E104" s="27" t="s">
        <v>236</v>
      </c>
      <c r="F104" s="27" t="s">
        <v>268</v>
      </c>
      <c r="G104" s="28" t="s">
        <v>242</v>
      </c>
      <c r="H104" s="6">
        <v>42712</v>
      </c>
      <c r="I104" s="10"/>
      <c r="J104" s="2"/>
      <c r="K104" s="10"/>
      <c r="L104" s="28"/>
      <c r="M104" s="6"/>
      <c r="N104" s="2"/>
    </row>
    <row r="105" spans="1:14" ht="38.25" hidden="1" x14ac:dyDescent="0.2">
      <c r="A105" s="45">
        <v>90030</v>
      </c>
      <c r="B105" s="27" t="s">
        <v>341</v>
      </c>
      <c r="C105" s="28"/>
      <c r="D105" s="27" t="s">
        <v>342</v>
      </c>
      <c r="E105" s="27" t="s">
        <v>236</v>
      </c>
      <c r="F105" s="27" t="s">
        <v>268</v>
      </c>
      <c r="G105" s="28" t="s">
        <v>242</v>
      </c>
      <c r="H105" s="6">
        <v>42712</v>
      </c>
      <c r="I105" s="10"/>
      <c r="J105" s="2"/>
      <c r="K105" s="10"/>
      <c r="L105" s="28"/>
      <c r="M105" s="6"/>
      <c r="N105" s="2"/>
    </row>
    <row r="106" spans="1:14" hidden="1" x14ac:dyDescent="0.2">
      <c r="A106" s="45">
        <v>90040</v>
      </c>
      <c r="B106" s="27" t="s">
        <v>150</v>
      </c>
      <c r="C106" s="28"/>
      <c r="D106" s="27" t="s">
        <v>157</v>
      </c>
      <c r="E106" s="27" t="s">
        <v>236</v>
      </c>
      <c r="F106" s="27" t="s">
        <v>268</v>
      </c>
      <c r="G106" s="28" t="s">
        <v>242</v>
      </c>
      <c r="H106" s="6">
        <v>42712</v>
      </c>
      <c r="I106" s="10"/>
      <c r="J106" s="2"/>
      <c r="K106" s="10"/>
      <c r="L106" s="28"/>
      <c r="M106" s="6"/>
      <c r="N106" s="2"/>
    </row>
    <row r="107" spans="1:14" ht="25.5" hidden="1" x14ac:dyDescent="0.2">
      <c r="A107" s="45">
        <v>90050</v>
      </c>
      <c r="B107" s="27" t="s">
        <v>343</v>
      </c>
      <c r="C107" s="28"/>
      <c r="D107" s="27" t="s">
        <v>158</v>
      </c>
      <c r="E107" s="27" t="s">
        <v>236</v>
      </c>
      <c r="F107" s="27" t="s">
        <v>257</v>
      </c>
      <c r="G107" s="28" t="s">
        <v>242</v>
      </c>
      <c r="H107" s="6">
        <v>42712</v>
      </c>
      <c r="I107" s="10"/>
      <c r="J107" s="2"/>
      <c r="K107" s="10"/>
      <c r="L107" s="28" t="s">
        <v>261</v>
      </c>
      <c r="M107" s="6">
        <v>42713</v>
      </c>
      <c r="N107" s="2"/>
    </row>
    <row r="108" spans="1:14" ht="38.25" hidden="1" x14ac:dyDescent="0.2">
      <c r="A108" s="45">
        <v>90060</v>
      </c>
      <c r="B108" s="27" t="s">
        <v>159</v>
      </c>
      <c r="C108" s="28"/>
      <c r="D108" s="27" t="s">
        <v>344</v>
      </c>
      <c r="E108" s="27" t="s">
        <v>236</v>
      </c>
      <c r="F108" s="27" t="s">
        <v>268</v>
      </c>
      <c r="G108" s="28" t="s">
        <v>242</v>
      </c>
      <c r="H108" s="6">
        <v>42712</v>
      </c>
      <c r="I108" s="10"/>
      <c r="J108" s="2"/>
      <c r="K108" s="10"/>
      <c r="L108" s="28"/>
      <c r="M108" s="6"/>
      <c r="N108" s="2"/>
    </row>
    <row r="109" spans="1:14" ht="38.25" hidden="1" x14ac:dyDescent="0.2">
      <c r="A109" s="45">
        <v>90070</v>
      </c>
      <c r="B109" s="27" t="s">
        <v>345</v>
      </c>
      <c r="C109" s="28"/>
      <c r="D109" s="27" t="s">
        <v>346</v>
      </c>
      <c r="E109" s="27" t="s">
        <v>236</v>
      </c>
      <c r="F109" s="27" t="s">
        <v>268</v>
      </c>
      <c r="G109" s="28" t="s">
        <v>242</v>
      </c>
      <c r="H109" s="6">
        <v>42712</v>
      </c>
      <c r="I109" s="10"/>
      <c r="J109" s="2"/>
      <c r="K109" s="10"/>
      <c r="L109" s="28"/>
      <c r="M109" s="6"/>
      <c r="N109" s="2"/>
    </row>
    <row r="110" spans="1:14" ht="25.5" hidden="1" x14ac:dyDescent="0.2">
      <c r="A110" s="45">
        <v>90080</v>
      </c>
      <c r="B110" s="27" t="s">
        <v>347</v>
      </c>
      <c r="C110" s="28"/>
      <c r="D110" s="27" t="s">
        <v>348</v>
      </c>
      <c r="E110" s="27" t="s">
        <v>236</v>
      </c>
      <c r="F110" s="27" t="s">
        <v>258</v>
      </c>
      <c r="G110" s="28" t="s">
        <v>242</v>
      </c>
      <c r="H110" s="6">
        <v>42712</v>
      </c>
      <c r="I110" s="10"/>
      <c r="J110" s="2"/>
      <c r="K110" s="10"/>
      <c r="L110" s="28" t="s">
        <v>261</v>
      </c>
      <c r="M110" s="6">
        <v>42713</v>
      </c>
      <c r="N110" s="27" t="s">
        <v>263</v>
      </c>
    </row>
    <row r="111" spans="1:14" ht="38.25" hidden="1" x14ac:dyDescent="0.2">
      <c r="A111" s="45">
        <v>90090</v>
      </c>
      <c r="B111" s="27" t="s">
        <v>349</v>
      </c>
      <c r="C111" s="28"/>
      <c r="D111" s="27" t="s">
        <v>351</v>
      </c>
      <c r="E111" s="27" t="s">
        <v>236</v>
      </c>
      <c r="F111" s="27" t="s">
        <v>258</v>
      </c>
      <c r="G111" s="28" t="s">
        <v>242</v>
      </c>
      <c r="H111" s="6">
        <v>42712</v>
      </c>
      <c r="I111" s="10"/>
      <c r="J111" s="2"/>
      <c r="K111" s="10"/>
      <c r="L111" s="28" t="s">
        <v>261</v>
      </c>
      <c r="M111" s="6">
        <v>42713</v>
      </c>
      <c r="N111" s="27" t="s">
        <v>263</v>
      </c>
    </row>
    <row r="112" spans="1:14" ht="38.25" hidden="1" x14ac:dyDescent="0.2">
      <c r="A112" s="45">
        <v>90100</v>
      </c>
      <c r="B112" s="27" t="s">
        <v>350</v>
      </c>
      <c r="C112" s="28"/>
      <c r="D112" s="27" t="s">
        <v>352</v>
      </c>
      <c r="E112" s="27" t="s">
        <v>236</v>
      </c>
      <c r="F112" s="27" t="s">
        <v>258</v>
      </c>
      <c r="G112" s="28" t="s">
        <v>242</v>
      </c>
      <c r="H112" s="6">
        <v>42712</v>
      </c>
      <c r="I112" s="10"/>
      <c r="J112" s="2"/>
      <c r="K112" s="10"/>
      <c r="L112" s="28" t="s">
        <v>261</v>
      </c>
      <c r="M112" s="6">
        <v>42713</v>
      </c>
      <c r="N112" s="27" t="s">
        <v>263</v>
      </c>
    </row>
    <row r="113" spans="1:14" ht="25.5" hidden="1" x14ac:dyDescent="0.2">
      <c r="A113" s="45">
        <v>90110</v>
      </c>
      <c r="B113" s="27" t="s">
        <v>160</v>
      </c>
      <c r="C113" s="28"/>
      <c r="D113" s="27" t="s">
        <v>353</v>
      </c>
      <c r="E113" s="27" t="s">
        <v>236</v>
      </c>
      <c r="F113" s="27" t="s">
        <v>258</v>
      </c>
      <c r="G113" s="28" t="s">
        <v>242</v>
      </c>
      <c r="H113" s="6">
        <v>42712</v>
      </c>
      <c r="I113" s="10"/>
      <c r="J113" s="2"/>
      <c r="K113" s="10"/>
      <c r="L113" s="28" t="s">
        <v>261</v>
      </c>
      <c r="M113" s="6">
        <v>42713</v>
      </c>
      <c r="N113" s="27" t="s">
        <v>263</v>
      </c>
    </row>
    <row r="114" spans="1:14" ht="38.25" hidden="1" x14ac:dyDescent="0.2">
      <c r="A114" s="45">
        <v>90120</v>
      </c>
      <c r="B114" s="27" t="s">
        <v>161</v>
      </c>
      <c r="C114" s="28"/>
      <c r="D114" s="27" t="s">
        <v>354</v>
      </c>
      <c r="E114" s="27" t="s">
        <v>236</v>
      </c>
      <c r="F114" s="27" t="s">
        <v>258</v>
      </c>
      <c r="G114" s="28" t="s">
        <v>242</v>
      </c>
      <c r="H114" s="6">
        <v>42712</v>
      </c>
      <c r="I114" s="10"/>
      <c r="J114" s="2"/>
      <c r="K114" s="10"/>
      <c r="L114" s="28" t="s">
        <v>261</v>
      </c>
      <c r="M114" s="6">
        <v>42713</v>
      </c>
      <c r="N114" s="27" t="s">
        <v>263</v>
      </c>
    </row>
    <row r="115" spans="1:14" ht="38.25" hidden="1" x14ac:dyDescent="0.2">
      <c r="A115" s="45">
        <v>90130</v>
      </c>
      <c r="B115" s="27" t="s">
        <v>162</v>
      </c>
      <c r="C115" s="28"/>
      <c r="D115" s="27" t="s">
        <v>355</v>
      </c>
      <c r="E115" s="27" t="s">
        <v>236</v>
      </c>
      <c r="F115" s="27" t="s">
        <v>258</v>
      </c>
      <c r="G115" s="28" t="s">
        <v>242</v>
      </c>
      <c r="H115" s="6">
        <v>42712</v>
      </c>
      <c r="I115" s="10"/>
      <c r="J115" s="2"/>
      <c r="K115" s="10"/>
      <c r="L115" s="28" t="s">
        <v>261</v>
      </c>
      <c r="M115" s="6">
        <v>42713</v>
      </c>
      <c r="N115" s="27" t="s">
        <v>263</v>
      </c>
    </row>
    <row r="116" spans="1:14" ht="51" hidden="1" x14ac:dyDescent="0.2">
      <c r="A116" s="45">
        <v>90140</v>
      </c>
      <c r="B116" s="27" t="s">
        <v>163</v>
      </c>
      <c r="C116" s="28"/>
      <c r="D116" s="27" t="s">
        <v>164</v>
      </c>
      <c r="E116" s="27" t="s">
        <v>236</v>
      </c>
      <c r="F116" s="27" t="s">
        <v>258</v>
      </c>
      <c r="G116" s="28" t="s">
        <v>242</v>
      </c>
      <c r="H116" s="6">
        <v>42712</v>
      </c>
      <c r="I116" s="10"/>
      <c r="J116" s="2"/>
      <c r="K116" s="10"/>
      <c r="L116" s="28" t="s">
        <v>261</v>
      </c>
      <c r="M116" s="6">
        <v>42713</v>
      </c>
      <c r="N116" s="27" t="s">
        <v>263</v>
      </c>
    </row>
    <row r="117" spans="1:14" ht="51" hidden="1" x14ac:dyDescent="0.2">
      <c r="A117" s="45">
        <v>90150</v>
      </c>
      <c r="B117" s="27" t="s">
        <v>165</v>
      </c>
      <c r="C117" s="28"/>
      <c r="D117" s="27" t="s">
        <v>356</v>
      </c>
      <c r="E117" s="27" t="s">
        <v>236</v>
      </c>
      <c r="F117" s="27" t="s">
        <v>258</v>
      </c>
      <c r="G117" s="28" t="s">
        <v>242</v>
      </c>
      <c r="H117" s="6">
        <v>42712</v>
      </c>
      <c r="I117" s="10"/>
      <c r="J117" s="2"/>
      <c r="K117" s="10"/>
      <c r="L117" s="28" t="s">
        <v>261</v>
      </c>
      <c r="M117" s="6">
        <v>42713</v>
      </c>
      <c r="N117" s="27" t="s">
        <v>263</v>
      </c>
    </row>
    <row r="118" spans="1:14" ht="63.75" hidden="1" x14ac:dyDescent="0.2">
      <c r="A118" s="45">
        <v>90160</v>
      </c>
      <c r="B118" s="27" t="s">
        <v>166</v>
      </c>
      <c r="C118" s="28"/>
      <c r="D118" s="27" t="s">
        <v>357</v>
      </c>
      <c r="E118" s="27" t="s">
        <v>236</v>
      </c>
      <c r="F118" s="27" t="s">
        <v>258</v>
      </c>
      <c r="G118" s="28" t="s">
        <v>242</v>
      </c>
      <c r="H118" s="6">
        <v>42712</v>
      </c>
      <c r="I118" s="10"/>
      <c r="J118" s="2"/>
      <c r="K118" s="10"/>
      <c r="L118" s="28" t="s">
        <v>261</v>
      </c>
      <c r="M118" s="6">
        <v>42713</v>
      </c>
      <c r="N118" s="27" t="s">
        <v>263</v>
      </c>
    </row>
    <row r="119" spans="1:14" ht="25.5" hidden="1" x14ac:dyDescent="0.2">
      <c r="A119" s="45">
        <v>90170</v>
      </c>
      <c r="B119" s="27" t="s">
        <v>358</v>
      </c>
      <c r="C119" s="28"/>
      <c r="D119" s="27" t="s">
        <v>359</v>
      </c>
      <c r="E119" s="27" t="s">
        <v>236</v>
      </c>
      <c r="F119" s="27" t="s">
        <v>268</v>
      </c>
      <c r="G119" s="28" t="s">
        <v>242</v>
      </c>
      <c r="H119" s="6">
        <v>42712</v>
      </c>
      <c r="I119" s="10"/>
      <c r="J119" s="2"/>
      <c r="K119" s="10"/>
      <c r="L119" s="28"/>
      <c r="M119" s="6"/>
      <c r="N119" s="2"/>
    </row>
    <row r="120" spans="1:14" ht="38.25" hidden="1" x14ac:dyDescent="0.2">
      <c r="A120" s="45">
        <v>90180</v>
      </c>
      <c r="B120" s="27" t="s">
        <v>167</v>
      </c>
      <c r="C120" s="28"/>
      <c r="D120" s="27" t="s">
        <v>360</v>
      </c>
      <c r="E120" s="27" t="s">
        <v>236</v>
      </c>
      <c r="F120" s="27" t="s">
        <v>268</v>
      </c>
      <c r="G120" s="28" t="s">
        <v>242</v>
      </c>
      <c r="H120" s="6">
        <v>42712</v>
      </c>
      <c r="I120" s="10"/>
      <c r="J120" s="2"/>
      <c r="K120" s="10"/>
      <c r="L120" s="28"/>
      <c r="M120" s="6"/>
      <c r="N120" s="2"/>
    </row>
    <row r="121" spans="1:14" ht="63.75" hidden="1" x14ac:dyDescent="0.2">
      <c r="A121" s="45">
        <v>90190</v>
      </c>
      <c r="B121" s="27" t="s">
        <v>168</v>
      </c>
      <c r="C121" s="28"/>
      <c r="D121" s="27" t="s">
        <v>169</v>
      </c>
      <c r="E121" s="27" t="s">
        <v>236</v>
      </c>
      <c r="F121" s="27" t="s">
        <v>268</v>
      </c>
      <c r="G121" s="28" t="s">
        <v>242</v>
      </c>
      <c r="H121" s="6">
        <v>42712</v>
      </c>
      <c r="I121" s="10"/>
      <c r="J121" s="2"/>
      <c r="K121" s="10"/>
      <c r="L121" s="28"/>
      <c r="M121" s="6"/>
      <c r="N121" s="2"/>
    </row>
    <row r="122" spans="1:14" ht="63.75" hidden="1" x14ac:dyDescent="0.2">
      <c r="A122" s="45">
        <v>90200</v>
      </c>
      <c r="B122" s="27" t="s">
        <v>170</v>
      </c>
      <c r="C122" s="28"/>
      <c r="D122" s="27" t="s">
        <v>361</v>
      </c>
      <c r="E122" s="27" t="s">
        <v>236</v>
      </c>
      <c r="F122" s="27" t="s">
        <v>268</v>
      </c>
      <c r="G122" s="28" t="s">
        <v>242</v>
      </c>
      <c r="H122" s="6">
        <v>42712</v>
      </c>
      <c r="I122" s="10"/>
      <c r="J122" s="2"/>
      <c r="K122" s="10"/>
      <c r="L122" s="28"/>
      <c r="M122" s="6"/>
      <c r="N122" s="2"/>
    </row>
    <row r="123" spans="1:14" ht="25.5" hidden="1" x14ac:dyDescent="0.2">
      <c r="A123" s="45">
        <v>90210</v>
      </c>
      <c r="B123" s="27" t="s">
        <v>171</v>
      </c>
      <c r="C123" s="28"/>
      <c r="D123" s="27" t="s">
        <v>362</v>
      </c>
      <c r="E123" s="27" t="s">
        <v>236</v>
      </c>
      <c r="F123" s="27" t="s">
        <v>268</v>
      </c>
      <c r="G123" s="28" t="s">
        <v>242</v>
      </c>
      <c r="H123" s="6">
        <v>42712</v>
      </c>
      <c r="I123" s="10"/>
      <c r="J123" s="2"/>
      <c r="K123" s="10"/>
      <c r="L123" s="28"/>
      <c r="M123" s="6"/>
      <c r="N123" s="2"/>
    </row>
    <row r="124" spans="1:14" ht="25.5" hidden="1" x14ac:dyDescent="0.2">
      <c r="A124" s="45">
        <v>90220</v>
      </c>
      <c r="B124" s="27" t="s">
        <v>172</v>
      </c>
      <c r="C124" s="28"/>
      <c r="D124" s="27" t="s">
        <v>363</v>
      </c>
      <c r="E124" s="27" t="s">
        <v>236</v>
      </c>
      <c r="F124" s="27" t="s">
        <v>268</v>
      </c>
      <c r="G124" s="28" t="s">
        <v>242</v>
      </c>
      <c r="H124" s="6">
        <v>42712</v>
      </c>
      <c r="I124" s="10"/>
      <c r="J124" s="2"/>
      <c r="K124" s="10"/>
      <c r="L124" s="28"/>
      <c r="M124" s="6"/>
      <c r="N124" s="2"/>
    </row>
    <row r="125" spans="1:14" ht="51" hidden="1" x14ac:dyDescent="0.2">
      <c r="A125" s="45">
        <v>90230</v>
      </c>
      <c r="B125" s="27" t="s">
        <v>364</v>
      </c>
      <c r="C125" s="28"/>
      <c r="D125" s="27" t="s">
        <v>365</v>
      </c>
      <c r="E125" s="27" t="s">
        <v>236</v>
      </c>
      <c r="F125" s="27" t="s">
        <v>268</v>
      </c>
      <c r="G125" s="28" t="s">
        <v>242</v>
      </c>
      <c r="H125" s="6">
        <v>42712</v>
      </c>
      <c r="I125" s="10"/>
      <c r="J125" s="2"/>
      <c r="K125" s="10"/>
      <c r="L125" s="28"/>
      <c r="M125" s="6"/>
      <c r="N125" s="2"/>
    </row>
    <row r="126" spans="1:14" ht="25.5" hidden="1" x14ac:dyDescent="0.2">
      <c r="A126" s="45">
        <v>90240</v>
      </c>
      <c r="B126" s="27" t="s">
        <v>173</v>
      </c>
      <c r="C126" s="28"/>
      <c r="D126" s="27" t="s">
        <v>174</v>
      </c>
      <c r="E126" s="27" t="s">
        <v>236</v>
      </c>
      <c r="F126" s="27" t="s">
        <v>268</v>
      </c>
      <c r="G126" s="28" t="s">
        <v>242</v>
      </c>
      <c r="H126" s="6">
        <v>42712</v>
      </c>
      <c r="I126" s="10"/>
      <c r="J126" s="2"/>
      <c r="K126" s="10"/>
      <c r="L126" s="28"/>
      <c r="M126" s="6"/>
      <c r="N126" s="2"/>
    </row>
    <row r="127" spans="1:14" ht="51" hidden="1" x14ac:dyDescent="0.2">
      <c r="A127" s="45">
        <v>90250</v>
      </c>
      <c r="B127" s="27" t="s">
        <v>175</v>
      </c>
      <c r="C127" s="28"/>
      <c r="D127" s="27" t="s">
        <v>366</v>
      </c>
      <c r="E127" s="27" t="s">
        <v>236</v>
      </c>
      <c r="F127" s="27" t="s">
        <v>268</v>
      </c>
      <c r="G127" s="28" t="s">
        <v>242</v>
      </c>
      <c r="H127" s="6">
        <v>42712</v>
      </c>
      <c r="I127" s="10"/>
      <c r="J127" s="2"/>
      <c r="K127" s="10"/>
      <c r="L127" s="28"/>
      <c r="M127" s="6"/>
      <c r="N127" s="2"/>
    </row>
    <row r="128" spans="1:14" ht="63.75" hidden="1" x14ac:dyDescent="0.2">
      <c r="A128" s="45">
        <v>90260</v>
      </c>
      <c r="B128" s="27" t="s">
        <v>368</v>
      </c>
      <c r="C128" s="28"/>
      <c r="D128" s="27" t="s">
        <v>367</v>
      </c>
      <c r="E128" s="27" t="s">
        <v>236</v>
      </c>
      <c r="F128" s="27" t="s">
        <v>268</v>
      </c>
      <c r="G128" s="28" t="s">
        <v>242</v>
      </c>
      <c r="H128" s="6">
        <v>42712</v>
      </c>
      <c r="I128" s="10"/>
      <c r="J128" s="2"/>
      <c r="K128" s="10"/>
      <c r="L128" s="28"/>
      <c r="M128" s="6"/>
      <c r="N128" s="2"/>
    </row>
    <row r="129" spans="1:14" ht="25.5" hidden="1" x14ac:dyDescent="0.2">
      <c r="A129" s="45">
        <v>90270</v>
      </c>
      <c r="B129" s="27" t="s">
        <v>150</v>
      </c>
      <c r="C129" s="28"/>
      <c r="D129" s="27" t="s">
        <v>369</v>
      </c>
      <c r="E129" s="27" t="s">
        <v>236</v>
      </c>
      <c r="F129" s="27" t="s">
        <v>268</v>
      </c>
      <c r="G129" s="28" t="s">
        <v>242</v>
      </c>
      <c r="H129" s="6">
        <v>42712</v>
      </c>
      <c r="I129" s="10"/>
      <c r="J129" s="2"/>
      <c r="K129" s="10"/>
      <c r="L129" s="28"/>
      <c r="M129" s="6"/>
      <c r="N129" s="2"/>
    </row>
    <row r="130" spans="1:14" ht="38.25" hidden="1" x14ac:dyDescent="0.2">
      <c r="A130" s="45">
        <v>90280</v>
      </c>
      <c r="B130" s="27" t="s">
        <v>176</v>
      </c>
      <c r="C130" s="28"/>
      <c r="D130" s="27" t="s">
        <v>370</v>
      </c>
      <c r="E130" s="27" t="s">
        <v>236</v>
      </c>
      <c r="F130" s="27" t="s">
        <v>268</v>
      </c>
      <c r="G130" s="28" t="s">
        <v>242</v>
      </c>
      <c r="H130" s="6">
        <v>42712</v>
      </c>
      <c r="I130" s="10"/>
      <c r="J130" s="2"/>
      <c r="K130" s="10"/>
      <c r="L130" s="28"/>
      <c r="M130" s="6"/>
      <c r="N130" s="2"/>
    </row>
    <row r="131" spans="1:14" ht="38.25" hidden="1" x14ac:dyDescent="0.2">
      <c r="A131" s="45">
        <v>90290</v>
      </c>
      <c r="B131" s="27" t="s">
        <v>177</v>
      </c>
      <c r="C131" s="28"/>
      <c r="D131" s="27" t="s">
        <v>371</v>
      </c>
      <c r="E131" s="27" t="s">
        <v>236</v>
      </c>
      <c r="F131" s="27" t="s">
        <v>268</v>
      </c>
      <c r="G131" s="28" t="s">
        <v>242</v>
      </c>
      <c r="H131" s="6">
        <v>42712</v>
      </c>
      <c r="I131" s="10"/>
      <c r="J131" s="2"/>
      <c r="K131" s="10"/>
      <c r="L131" s="28"/>
      <c r="M131" s="6"/>
      <c r="N131" s="2"/>
    </row>
    <row r="132" spans="1:14" ht="25.5" x14ac:dyDescent="0.2">
      <c r="A132" s="45">
        <v>90300</v>
      </c>
      <c r="B132" s="27" t="s">
        <v>178</v>
      </c>
      <c r="C132" s="28"/>
      <c r="D132" s="27" t="s">
        <v>372</v>
      </c>
      <c r="E132" s="2"/>
      <c r="F132" s="27"/>
      <c r="G132" s="28"/>
      <c r="H132" s="6"/>
      <c r="I132" s="10"/>
      <c r="J132" s="2"/>
      <c r="K132" s="10"/>
      <c r="L132" s="28"/>
      <c r="M132" s="6"/>
      <c r="N132" s="2"/>
    </row>
    <row r="133" spans="1:14" ht="25.5" hidden="1" x14ac:dyDescent="0.2">
      <c r="A133" s="45">
        <v>90310</v>
      </c>
      <c r="B133" s="27" t="s">
        <v>373</v>
      </c>
      <c r="C133" s="28"/>
      <c r="D133" s="27" t="s">
        <v>374</v>
      </c>
      <c r="E133" s="27" t="s">
        <v>236</v>
      </c>
      <c r="F133" s="27" t="s">
        <v>268</v>
      </c>
      <c r="G133" s="28" t="s">
        <v>242</v>
      </c>
      <c r="H133" s="6">
        <v>42712</v>
      </c>
      <c r="I133" s="10"/>
      <c r="J133" s="2"/>
      <c r="K133" s="10"/>
      <c r="L133" s="28"/>
      <c r="M133" s="6"/>
      <c r="N133" s="2"/>
    </row>
    <row r="134" spans="1:14" ht="38.25" x14ac:dyDescent="0.2">
      <c r="A134" s="45">
        <v>90320</v>
      </c>
      <c r="B134" s="27" t="s">
        <v>375</v>
      </c>
      <c r="C134" s="28"/>
      <c r="D134" s="27" t="s">
        <v>376</v>
      </c>
      <c r="E134" s="2"/>
      <c r="F134" s="27"/>
      <c r="G134" s="28"/>
      <c r="H134" s="6"/>
      <c r="I134" s="10"/>
      <c r="J134" s="2"/>
      <c r="K134" s="10"/>
      <c r="L134" s="28"/>
      <c r="M134" s="6"/>
      <c r="N134" s="2"/>
    </row>
    <row r="135" spans="1:14" ht="38.25" hidden="1" x14ac:dyDescent="0.2">
      <c r="A135" s="45">
        <v>90330</v>
      </c>
      <c r="B135" s="27" t="s">
        <v>377</v>
      </c>
      <c r="C135" s="28"/>
      <c r="D135" s="27" t="s">
        <v>378</v>
      </c>
      <c r="E135" s="27" t="s">
        <v>236</v>
      </c>
      <c r="F135" s="27" t="s">
        <v>268</v>
      </c>
      <c r="G135" s="28" t="s">
        <v>242</v>
      </c>
      <c r="H135" s="6">
        <v>42712</v>
      </c>
      <c r="I135" s="10"/>
      <c r="J135" s="2"/>
      <c r="K135" s="10"/>
      <c r="L135" s="28"/>
      <c r="M135" s="6"/>
      <c r="N135" s="2"/>
    </row>
    <row r="136" spans="1:14" ht="25.5" hidden="1" x14ac:dyDescent="0.2">
      <c r="A136" s="45">
        <v>90340</v>
      </c>
      <c r="B136" s="27" t="s">
        <v>179</v>
      </c>
      <c r="C136" s="28"/>
      <c r="D136" s="27" t="s">
        <v>180</v>
      </c>
      <c r="E136" s="27" t="s">
        <v>236</v>
      </c>
      <c r="F136" s="27" t="s">
        <v>268</v>
      </c>
      <c r="G136" s="28" t="s">
        <v>242</v>
      </c>
      <c r="H136" s="6">
        <v>42712</v>
      </c>
      <c r="I136" s="10"/>
      <c r="J136" s="2"/>
      <c r="K136" s="10"/>
      <c r="L136" s="28"/>
      <c r="M136" s="6"/>
      <c r="N136" s="2"/>
    </row>
    <row r="137" spans="1:14" ht="51" hidden="1" x14ac:dyDescent="0.2">
      <c r="A137" s="45">
        <v>90350</v>
      </c>
      <c r="B137" s="27" t="s">
        <v>99</v>
      </c>
      <c r="C137" s="28"/>
      <c r="D137" s="27" t="s">
        <v>379</v>
      </c>
      <c r="E137" s="27" t="s">
        <v>236</v>
      </c>
      <c r="F137" s="27" t="s">
        <v>268</v>
      </c>
      <c r="G137" s="28" t="s">
        <v>242</v>
      </c>
      <c r="H137" s="6">
        <v>42712</v>
      </c>
      <c r="I137" s="10"/>
      <c r="J137" s="2"/>
      <c r="K137" s="10"/>
      <c r="L137" s="28"/>
      <c r="M137" s="6"/>
      <c r="N137" s="2"/>
    </row>
    <row r="138" spans="1:14" ht="51" hidden="1" x14ac:dyDescent="0.2">
      <c r="A138" s="45">
        <v>90360</v>
      </c>
      <c r="B138" s="27" t="s">
        <v>181</v>
      </c>
      <c r="C138" s="28"/>
      <c r="D138" s="27" t="s">
        <v>182</v>
      </c>
      <c r="E138" s="27" t="s">
        <v>236</v>
      </c>
      <c r="F138" s="27" t="s">
        <v>380</v>
      </c>
      <c r="G138" s="28" t="s">
        <v>242</v>
      </c>
      <c r="H138" s="6">
        <v>42712</v>
      </c>
      <c r="I138" s="10"/>
      <c r="J138" s="2"/>
      <c r="K138" s="10"/>
      <c r="L138" s="28" t="s">
        <v>261</v>
      </c>
      <c r="M138" s="6">
        <v>42713</v>
      </c>
      <c r="N138" s="27" t="s">
        <v>264</v>
      </c>
    </row>
    <row r="139" spans="1:14" ht="25.5" hidden="1" x14ac:dyDescent="0.2">
      <c r="A139" s="45">
        <v>90370</v>
      </c>
      <c r="B139" s="27" t="s">
        <v>183</v>
      </c>
      <c r="C139" s="28"/>
      <c r="D139" s="27" t="s">
        <v>184</v>
      </c>
      <c r="E139" s="27" t="s">
        <v>236</v>
      </c>
      <c r="F139" s="27" t="s">
        <v>268</v>
      </c>
      <c r="G139" s="28" t="s">
        <v>242</v>
      </c>
      <c r="H139" s="6">
        <v>42712</v>
      </c>
      <c r="I139" s="10"/>
      <c r="J139" s="2"/>
      <c r="K139" s="10"/>
      <c r="L139" s="28"/>
      <c r="M139" s="6"/>
      <c r="N139" s="2"/>
    </row>
    <row r="140" spans="1:14" ht="25.5" x14ac:dyDescent="0.2">
      <c r="A140" s="45">
        <v>90380</v>
      </c>
      <c r="B140" s="27" t="s">
        <v>185</v>
      </c>
      <c r="C140" s="28"/>
      <c r="D140" s="27" t="s">
        <v>186</v>
      </c>
      <c r="E140" s="2"/>
      <c r="F140" s="27"/>
      <c r="G140" s="28"/>
      <c r="H140" s="6"/>
      <c r="I140" s="10"/>
      <c r="J140" s="2"/>
      <c r="K140" s="10"/>
      <c r="L140" s="28"/>
      <c r="M140" s="6"/>
      <c r="N140" s="2"/>
    </row>
    <row r="141" spans="1:14" ht="38.25" x14ac:dyDescent="0.2">
      <c r="A141" s="45">
        <v>90390</v>
      </c>
      <c r="B141" s="27" t="s">
        <v>187</v>
      </c>
      <c r="C141" s="28"/>
      <c r="D141" s="27" t="s">
        <v>381</v>
      </c>
      <c r="E141" s="2"/>
      <c r="F141" s="27"/>
      <c r="G141" s="28"/>
      <c r="H141" s="6"/>
      <c r="I141" s="10"/>
      <c r="J141" s="2"/>
      <c r="K141" s="10"/>
      <c r="L141" s="28"/>
      <c r="M141" s="6"/>
      <c r="N141" s="2"/>
    </row>
    <row r="142" spans="1:14" ht="51" x14ac:dyDescent="0.2">
      <c r="A142" s="45">
        <v>90400</v>
      </c>
      <c r="B142" s="27" t="s">
        <v>156</v>
      </c>
      <c r="C142" s="28"/>
      <c r="D142" s="27" t="s">
        <v>382</v>
      </c>
      <c r="E142" s="2"/>
      <c r="F142" s="27"/>
      <c r="G142" s="28"/>
      <c r="H142" s="6"/>
      <c r="I142" s="10"/>
      <c r="J142" s="2"/>
      <c r="K142" s="10"/>
      <c r="L142" s="28"/>
      <c r="M142" s="6"/>
      <c r="N142" s="2"/>
    </row>
    <row r="143" spans="1:14" ht="38.25" x14ac:dyDescent="0.2">
      <c r="A143" s="45">
        <v>90410</v>
      </c>
      <c r="B143" s="27" t="s">
        <v>188</v>
      </c>
      <c r="C143" s="28"/>
      <c r="D143" s="27" t="s">
        <v>383</v>
      </c>
      <c r="E143" s="2"/>
      <c r="F143" s="27"/>
      <c r="G143" s="28"/>
      <c r="H143" s="6"/>
      <c r="I143" s="10"/>
      <c r="J143" s="2"/>
      <c r="K143" s="10"/>
      <c r="L143" s="28"/>
      <c r="M143" s="6"/>
      <c r="N143" s="2"/>
    </row>
    <row r="144" spans="1:14" ht="25.5" x14ac:dyDescent="0.2">
      <c r="A144" s="45">
        <v>90420</v>
      </c>
      <c r="B144" s="27" t="s">
        <v>183</v>
      </c>
      <c r="C144" s="28"/>
      <c r="D144" s="27" t="s">
        <v>384</v>
      </c>
      <c r="E144" s="2"/>
      <c r="F144" s="27"/>
      <c r="G144" s="28"/>
      <c r="H144" s="6"/>
      <c r="I144" s="10"/>
      <c r="J144" s="2"/>
      <c r="K144" s="10"/>
      <c r="L144" s="28"/>
      <c r="M144" s="6"/>
      <c r="N144" s="2"/>
    </row>
    <row r="145" spans="1:14" ht="38.25" x14ac:dyDescent="0.2">
      <c r="A145" s="45">
        <v>90430</v>
      </c>
      <c r="B145" s="27" t="s">
        <v>189</v>
      </c>
      <c r="C145" s="28"/>
      <c r="D145" s="27" t="s">
        <v>385</v>
      </c>
      <c r="E145" s="2"/>
      <c r="F145" s="27"/>
      <c r="G145" s="28"/>
      <c r="H145" s="6"/>
      <c r="I145" s="10"/>
      <c r="J145" s="2"/>
      <c r="K145" s="10"/>
      <c r="L145" s="28"/>
      <c r="M145" s="6"/>
      <c r="N145" s="2"/>
    </row>
    <row r="146" spans="1:14" hidden="1" x14ac:dyDescent="0.2">
      <c r="A146" s="45">
        <v>90440</v>
      </c>
      <c r="B146" s="27" t="s">
        <v>386</v>
      </c>
      <c r="C146" s="28"/>
      <c r="D146" s="27" t="s">
        <v>190</v>
      </c>
      <c r="E146" s="27" t="s">
        <v>236</v>
      </c>
      <c r="F146" s="27" t="s">
        <v>268</v>
      </c>
      <c r="G146" s="28" t="s">
        <v>242</v>
      </c>
      <c r="H146" s="6">
        <v>42712</v>
      </c>
      <c r="I146" s="10"/>
      <c r="J146" s="2"/>
      <c r="K146" s="10"/>
      <c r="L146" s="28"/>
      <c r="M146" s="6"/>
      <c r="N146" s="2"/>
    </row>
    <row r="147" spans="1:14" ht="38.25" hidden="1" x14ac:dyDescent="0.2">
      <c r="A147" s="45">
        <v>90450</v>
      </c>
      <c r="B147" s="27" t="s">
        <v>99</v>
      </c>
      <c r="C147" s="28"/>
      <c r="D147" s="27" t="s">
        <v>387</v>
      </c>
      <c r="E147" s="27" t="s">
        <v>236</v>
      </c>
      <c r="F147" s="27" t="s">
        <v>268</v>
      </c>
      <c r="G147" s="28" t="s">
        <v>242</v>
      </c>
      <c r="H147" s="6">
        <v>42712</v>
      </c>
      <c r="I147" s="10"/>
      <c r="J147" s="2"/>
      <c r="K147" s="10"/>
      <c r="L147" s="28"/>
      <c r="M147" s="6"/>
      <c r="N147" s="2"/>
    </row>
    <row r="148" spans="1:14" ht="25.5" hidden="1" x14ac:dyDescent="0.2">
      <c r="A148" s="45">
        <v>90460</v>
      </c>
      <c r="B148" s="27" t="s">
        <v>103</v>
      </c>
      <c r="C148" s="28"/>
      <c r="D148" s="27" t="s">
        <v>388</v>
      </c>
      <c r="E148" s="27" t="s">
        <v>236</v>
      </c>
      <c r="F148" s="27" t="s">
        <v>389</v>
      </c>
      <c r="G148" s="28" t="s">
        <v>242</v>
      </c>
      <c r="H148" s="6">
        <v>42712</v>
      </c>
      <c r="I148" s="10"/>
      <c r="J148" s="2"/>
      <c r="K148" s="10"/>
      <c r="L148" s="28" t="s">
        <v>261</v>
      </c>
      <c r="M148" s="6">
        <v>42713</v>
      </c>
      <c r="N148" s="27" t="s">
        <v>265</v>
      </c>
    </row>
    <row r="149" spans="1:14" hidden="1" x14ac:dyDescent="0.2">
      <c r="A149" s="45">
        <v>90470</v>
      </c>
      <c r="B149" s="27" t="s">
        <v>390</v>
      </c>
      <c r="C149" s="28"/>
      <c r="D149" s="27" t="s">
        <v>191</v>
      </c>
      <c r="E149" s="27" t="s">
        <v>236</v>
      </c>
      <c r="F149" s="27" t="s">
        <v>268</v>
      </c>
      <c r="G149" s="28" t="s">
        <v>242</v>
      </c>
      <c r="H149" s="6">
        <v>42712</v>
      </c>
      <c r="I149" s="10"/>
      <c r="J149" s="2"/>
      <c r="K149" s="10"/>
      <c r="L149" s="28"/>
      <c r="M149" s="6"/>
      <c r="N149" s="2"/>
    </row>
    <row r="150" spans="1:14" ht="25.5" x14ac:dyDescent="0.2">
      <c r="A150" s="45">
        <v>90480</v>
      </c>
      <c r="B150" s="27" t="s">
        <v>391</v>
      </c>
      <c r="C150" s="28"/>
      <c r="D150" s="27" t="s">
        <v>392</v>
      </c>
      <c r="E150" s="27" t="s">
        <v>236</v>
      </c>
      <c r="F150" s="27"/>
      <c r="G150" s="28"/>
      <c r="H150" s="6"/>
      <c r="I150" s="10"/>
      <c r="J150" s="2"/>
      <c r="K150" s="10"/>
      <c r="L150" s="28"/>
      <c r="M150" s="6"/>
      <c r="N150" s="2"/>
    </row>
    <row r="151" spans="1:14" x14ac:dyDescent="0.2">
      <c r="A151" s="45">
        <v>100000</v>
      </c>
      <c r="B151" s="27" t="s">
        <v>192</v>
      </c>
      <c r="C151" s="28"/>
      <c r="D151" s="2"/>
      <c r="E151" s="2"/>
      <c r="F151" s="27"/>
      <c r="G151" s="28"/>
      <c r="H151" s="6"/>
      <c r="I151" s="10"/>
      <c r="J151" s="2"/>
      <c r="K151" s="10"/>
      <c r="L151" s="28"/>
      <c r="M151" s="6"/>
      <c r="N151" s="2"/>
    </row>
    <row r="152" spans="1:14" ht="38.25" hidden="1" x14ac:dyDescent="0.2">
      <c r="A152" s="45">
        <v>100020</v>
      </c>
      <c r="B152" s="27" t="s">
        <v>193</v>
      </c>
      <c r="C152" s="28"/>
      <c r="D152" s="27" t="s">
        <v>393</v>
      </c>
      <c r="E152" s="27" t="s">
        <v>236</v>
      </c>
      <c r="F152" s="27" t="s">
        <v>268</v>
      </c>
      <c r="G152" s="28" t="s">
        <v>242</v>
      </c>
      <c r="H152" s="6">
        <v>42712</v>
      </c>
      <c r="I152" s="10"/>
      <c r="J152" s="2"/>
      <c r="K152" s="10"/>
      <c r="L152" s="28"/>
      <c r="M152" s="6"/>
      <c r="N152" s="2"/>
    </row>
    <row r="153" spans="1:14" ht="51" hidden="1" x14ac:dyDescent="0.2">
      <c r="A153" s="45">
        <v>100030</v>
      </c>
      <c r="B153" s="27" t="s">
        <v>394</v>
      </c>
      <c r="C153" s="28"/>
      <c r="D153" s="27" t="s">
        <v>395</v>
      </c>
      <c r="E153" s="27" t="s">
        <v>236</v>
      </c>
      <c r="F153" s="27" t="s">
        <v>396</v>
      </c>
      <c r="G153" s="28" t="s">
        <v>242</v>
      </c>
      <c r="H153" s="6">
        <v>42712</v>
      </c>
      <c r="I153" s="10"/>
      <c r="J153" s="2"/>
      <c r="K153" s="10"/>
      <c r="L153" s="28" t="s">
        <v>262</v>
      </c>
      <c r="M153" s="6">
        <v>42713</v>
      </c>
      <c r="N153" s="2"/>
    </row>
    <row r="154" spans="1:14" x14ac:dyDescent="0.2">
      <c r="A154" s="45">
        <v>100040</v>
      </c>
      <c r="B154" s="27"/>
      <c r="C154" s="28"/>
      <c r="D154" s="27"/>
      <c r="E154" s="2"/>
      <c r="F154" s="27"/>
      <c r="G154" s="28"/>
      <c r="H154" s="6"/>
      <c r="I154" s="10"/>
      <c r="J154" s="2"/>
      <c r="K154" s="10"/>
      <c r="L154" s="28"/>
      <c r="M154" s="6"/>
      <c r="N154" s="2"/>
    </row>
    <row r="155" spans="1:14" x14ac:dyDescent="0.2">
      <c r="A155" s="45">
        <v>100050</v>
      </c>
      <c r="B155" s="27"/>
      <c r="C155" s="28"/>
      <c r="D155" s="27"/>
      <c r="E155" s="2"/>
      <c r="F155" s="27"/>
      <c r="G155" s="28"/>
      <c r="H155" s="6"/>
      <c r="I155" s="10"/>
      <c r="J155" s="2"/>
      <c r="K155" s="10"/>
      <c r="L155" s="28"/>
      <c r="M155" s="6"/>
      <c r="N155" s="2"/>
    </row>
    <row r="156" spans="1:14" x14ac:dyDescent="0.2">
      <c r="A156" s="45">
        <v>110000</v>
      </c>
      <c r="B156" s="27" t="s">
        <v>194</v>
      </c>
      <c r="C156" s="28"/>
      <c r="D156" s="2"/>
      <c r="E156" s="2"/>
      <c r="F156" s="27"/>
      <c r="G156" s="28"/>
      <c r="H156" s="6"/>
      <c r="I156" s="10"/>
      <c r="J156" s="2"/>
      <c r="K156" s="10"/>
      <c r="L156" s="28"/>
      <c r="M156" s="6"/>
      <c r="N156" s="2"/>
    </row>
    <row r="157" spans="1:14" ht="25.5" hidden="1" x14ac:dyDescent="0.2">
      <c r="A157" s="45">
        <v>110010</v>
      </c>
      <c r="B157" s="27" t="s">
        <v>195</v>
      </c>
      <c r="C157" s="10"/>
      <c r="D157" s="27" t="s">
        <v>397</v>
      </c>
      <c r="E157" s="27" t="s">
        <v>236</v>
      </c>
      <c r="F157" s="27" t="s">
        <v>268</v>
      </c>
      <c r="G157" s="28" t="s">
        <v>242</v>
      </c>
      <c r="H157" s="6">
        <v>42712</v>
      </c>
      <c r="I157" s="10"/>
      <c r="J157" s="2"/>
      <c r="K157" s="10"/>
      <c r="L157" s="28"/>
      <c r="M157" s="6"/>
      <c r="N157" s="2"/>
    </row>
    <row r="158" spans="1:14" ht="51" hidden="1" x14ac:dyDescent="0.2">
      <c r="A158" s="45">
        <v>110020</v>
      </c>
      <c r="B158" s="27" t="s">
        <v>196</v>
      </c>
      <c r="C158" s="10"/>
      <c r="D158" s="27" t="s">
        <v>197</v>
      </c>
      <c r="E158" s="27" t="s">
        <v>236</v>
      </c>
      <c r="F158" s="27" t="s">
        <v>398</v>
      </c>
      <c r="G158" s="28" t="s">
        <v>242</v>
      </c>
      <c r="H158" s="6">
        <v>42712</v>
      </c>
      <c r="I158" s="10"/>
      <c r="J158" s="2"/>
      <c r="K158" s="10"/>
      <c r="L158" s="28" t="s">
        <v>262</v>
      </c>
      <c r="M158" s="6">
        <v>42716</v>
      </c>
      <c r="N158" s="2"/>
    </row>
    <row r="159" spans="1:14" ht="38.25" hidden="1" x14ac:dyDescent="0.2">
      <c r="A159" s="45">
        <v>110030</v>
      </c>
      <c r="B159" s="27" t="s">
        <v>198</v>
      </c>
      <c r="C159" s="10"/>
      <c r="D159" s="27" t="s">
        <v>399</v>
      </c>
      <c r="E159" s="27" t="s">
        <v>236</v>
      </c>
      <c r="F159" s="27" t="s">
        <v>246</v>
      </c>
      <c r="G159" s="28" t="s">
        <v>242</v>
      </c>
      <c r="H159" s="6">
        <v>42712</v>
      </c>
      <c r="I159" s="10"/>
      <c r="J159" s="2"/>
      <c r="K159" s="10"/>
      <c r="L159" s="28" t="s">
        <v>261</v>
      </c>
      <c r="M159" s="6">
        <v>42713</v>
      </c>
      <c r="N159" s="27" t="s">
        <v>400</v>
      </c>
    </row>
    <row r="160" spans="1:14" ht="76.5" hidden="1" x14ac:dyDescent="0.2">
      <c r="A160" s="45">
        <v>110040</v>
      </c>
      <c r="B160" s="27" t="s">
        <v>199</v>
      </c>
      <c r="C160" s="10"/>
      <c r="D160" s="27" t="s">
        <v>401</v>
      </c>
      <c r="E160" s="27" t="s">
        <v>236</v>
      </c>
      <c r="F160" s="27" t="s">
        <v>245</v>
      </c>
      <c r="G160" s="28" t="s">
        <v>242</v>
      </c>
      <c r="H160" s="6">
        <v>42712</v>
      </c>
      <c r="I160" s="10"/>
      <c r="J160" s="2"/>
      <c r="K160" s="10"/>
      <c r="L160" s="28" t="s">
        <v>261</v>
      </c>
      <c r="M160" s="6">
        <v>42716</v>
      </c>
      <c r="N160" s="2"/>
    </row>
    <row r="161" spans="1:14" ht="51" hidden="1" x14ac:dyDescent="0.2">
      <c r="A161" s="45">
        <v>110050</v>
      </c>
      <c r="B161" s="27" t="s">
        <v>156</v>
      </c>
      <c r="C161" s="10"/>
      <c r="D161" s="27" t="s">
        <v>200</v>
      </c>
      <c r="E161" s="27" t="s">
        <v>236</v>
      </c>
      <c r="F161" s="27" t="s">
        <v>402</v>
      </c>
      <c r="G161" s="28" t="s">
        <v>241</v>
      </c>
      <c r="H161" s="6">
        <v>42712</v>
      </c>
      <c r="I161" s="10"/>
      <c r="J161" s="2"/>
      <c r="K161" s="10"/>
      <c r="L161" s="28" t="s">
        <v>262</v>
      </c>
      <c r="M161" s="6">
        <v>42716</v>
      </c>
      <c r="N161" s="2"/>
    </row>
    <row r="162" spans="1:14" ht="38.25" x14ac:dyDescent="0.2">
      <c r="A162" s="45">
        <v>110060</v>
      </c>
      <c r="B162" s="27" t="s">
        <v>403</v>
      </c>
      <c r="C162" s="10"/>
      <c r="D162" s="27" t="s">
        <v>404</v>
      </c>
      <c r="E162" s="27" t="s">
        <v>236</v>
      </c>
      <c r="F162" s="27"/>
      <c r="G162" s="28"/>
      <c r="H162" s="6"/>
      <c r="I162" s="10"/>
      <c r="J162" s="2"/>
      <c r="K162" s="10"/>
      <c r="L162" s="28"/>
      <c r="M162" s="6"/>
      <c r="N162" s="2"/>
    </row>
    <row r="163" spans="1:14" ht="51" x14ac:dyDescent="0.2">
      <c r="A163" s="45">
        <v>110070</v>
      </c>
      <c r="B163" s="27" t="s">
        <v>405</v>
      </c>
      <c r="C163" s="10"/>
      <c r="D163" s="27" t="s">
        <v>406</v>
      </c>
      <c r="E163" s="27" t="s">
        <v>236</v>
      </c>
      <c r="F163" s="27"/>
      <c r="G163" s="28"/>
      <c r="H163" s="6"/>
      <c r="I163" s="10"/>
      <c r="J163" s="2"/>
      <c r="K163" s="10"/>
      <c r="L163" s="28"/>
      <c r="M163" s="6"/>
      <c r="N163" s="2"/>
    </row>
    <row r="164" spans="1:14" ht="25.5" x14ac:dyDescent="0.2">
      <c r="A164" s="45">
        <v>110080</v>
      </c>
      <c r="B164" s="27" t="s">
        <v>405</v>
      </c>
      <c r="C164" s="10"/>
      <c r="D164" s="27" t="s">
        <v>407</v>
      </c>
      <c r="E164" s="27" t="s">
        <v>236</v>
      </c>
      <c r="F164" s="27"/>
      <c r="G164" s="28"/>
      <c r="H164" s="6"/>
      <c r="I164" s="10"/>
      <c r="J164" s="2"/>
      <c r="K164" s="10"/>
      <c r="L164" s="28"/>
      <c r="M164" s="6"/>
      <c r="N164" s="2"/>
    </row>
    <row r="165" spans="1:14" ht="25.5" x14ac:dyDescent="0.2">
      <c r="A165" s="45">
        <v>110090</v>
      </c>
      <c r="B165" s="27" t="s">
        <v>405</v>
      </c>
      <c r="C165" s="10"/>
      <c r="D165" s="27" t="s">
        <v>408</v>
      </c>
      <c r="E165" s="27" t="s">
        <v>236</v>
      </c>
      <c r="F165" s="27"/>
      <c r="G165" s="28"/>
      <c r="H165" s="6"/>
      <c r="I165" s="10"/>
      <c r="J165" s="2"/>
      <c r="K165" s="10"/>
      <c r="L165" s="28"/>
      <c r="M165" s="6"/>
      <c r="N165" s="2"/>
    </row>
    <row r="166" spans="1:14" ht="51" hidden="1" x14ac:dyDescent="0.2">
      <c r="A166" s="45">
        <v>110100</v>
      </c>
      <c r="B166" s="27" t="s">
        <v>201</v>
      </c>
      <c r="C166" s="10"/>
      <c r="D166" s="27" t="s">
        <v>409</v>
      </c>
      <c r="E166" s="27" t="s">
        <v>236</v>
      </c>
      <c r="F166" s="27" t="s">
        <v>268</v>
      </c>
      <c r="G166" s="28" t="s">
        <v>242</v>
      </c>
      <c r="H166" s="6">
        <v>42712</v>
      </c>
      <c r="I166" s="10"/>
      <c r="J166" s="2"/>
      <c r="K166" s="10"/>
      <c r="L166" s="28"/>
      <c r="M166" s="6"/>
      <c r="N166" s="2"/>
    </row>
    <row r="167" spans="1:14" ht="25.5" hidden="1" x14ac:dyDescent="0.2">
      <c r="A167" s="45">
        <v>110110</v>
      </c>
      <c r="B167" s="27" t="s">
        <v>156</v>
      </c>
      <c r="C167" s="10"/>
      <c r="D167" s="27" t="s">
        <v>200</v>
      </c>
      <c r="E167" s="27" t="s">
        <v>236</v>
      </c>
      <c r="F167" s="27" t="s">
        <v>268</v>
      </c>
      <c r="G167" s="28" t="s">
        <v>242</v>
      </c>
      <c r="H167" s="6">
        <v>42712</v>
      </c>
      <c r="I167" s="10"/>
      <c r="J167" s="2"/>
      <c r="K167" s="10"/>
      <c r="L167" s="28"/>
      <c r="M167" s="6"/>
      <c r="N167" s="2"/>
    </row>
    <row r="168" spans="1:14" ht="51" x14ac:dyDescent="0.2">
      <c r="A168" s="45">
        <v>110120</v>
      </c>
      <c r="B168" s="27" t="s">
        <v>410</v>
      </c>
      <c r="C168" s="10"/>
      <c r="D168" s="27" t="s">
        <v>411</v>
      </c>
      <c r="E168" s="27" t="s">
        <v>236</v>
      </c>
      <c r="F168" s="27" t="s">
        <v>259</v>
      </c>
      <c r="G168" s="28" t="s">
        <v>242</v>
      </c>
      <c r="H168" s="6">
        <v>42712</v>
      </c>
      <c r="I168" s="10"/>
      <c r="J168" s="2"/>
      <c r="K168" s="10"/>
      <c r="L168" s="28" t="s">
        <v>262</v>
      </c>
      <c r="M168" s="6">
        <v>42719</v>
      </c>
      <c r="N168" s="2"/>
    </row>
    <row r="169" spans="1:14" ht="38.25" x14ac:dyDescent="0.2">
      <c r="A169" s="45">
        <v>110130</v>
      </c>
      <c r="B169" s="27" t="s">
        <v>412</v>
      </c>
      <c r="C169" s="10"/>
      <c r="D169" s="27" t="s">
        <v>413</v>
      </c>
      <c r="E169" s="27" t="s">
        <v>236</v>
      </c>
      <c r="F169" s="27" t="s">
        <v>260</v>
      </c>
      <c r="G169" s="28" t="s">
        <v>242</v>
      </c>
      <c r="H169" s="6">
        <v>42712</v>
      </c>
      <c r="I169" s="10"/>
      <c r="J169" s="2"/>
      <c r="K169" s="10"/>
      <c r="L169" s="28" t="s">
        <v>262</v>
      </c>
      <c r="M169" s="6">
        <v>42719</v>
      </c>
      <c r="N169" s="2"/>
    </row>
    <row r="170" spans="1:14" ht="38.25" hidden="1" x14ac:dyDescent="0.2">
      <c r="A170" s="45">
        <v>110140</v>
      </c>
      <c r="B170" s="27" t="s">
        <v>414</v>
      </c>
      <c r="C170" s="10"/>
      <c r="D170" s="27" t="s">
        <v>415</v>
      </c>
      <c r="E170" s="27" t="s">
        <v>236</v>
      </c>
      <c r="F170" s="27" t="s">
        <v>268</v>
      </c>
      <c r="G170" s="28" t="s">
        <v>242</v>
      </c>
      <c r="H170" s="6">
        <v>42712</v>
      </c>
      <c r="I170" s="10"/>
      <c r="J170" s="2"/>
      <c r="K170" s="10"/>
      <c r="L170" s="28"/>
      <c r="M170" s="6"/>
      <c r="N170" s="2"/>
    </row>
    <row r="171" spans="1:14" ht="25.5" hidden="1" x14ac:dyDescent="0.2">
      <c r="A171" s="45">
        <v>110150</v>
      </c>
      <c r="B171" s="27" t="s">
        <v>202</v>
      </c>
      <c r="C171" s="10"/>
      <c r="D171" s="27" t="s">
        <v>416</v>
      </c>
      <c r="E171" s="27" t="s">
        <v>236</v>
      </c>
      <c r="F171" s="27" t="s">
        <v>268</v>
      </c>
      <c r="G171" s="28" t="s">
        <v>242</v>
      </c>
      <c r="H171" s="6">
        <v>42712</v>
      </c>
      <c r="I171" s="10"/>
      <c r="J171" s="2"/>
      <c r="K171" s="10"/>
      <c r="L171" s="28"/>
      <c r="M171" s="6"/>
      <c r="N171" s="2"/>
    </row>
    <row r="172" spans="1:14" x14ac:dyDescent="0.2">
      <c r="A172" s="45"/>
      <c r="B172" s="27"/>
      <c r="C172" s="10"/>
      <c r="D172" s="27"/>
      <c r="E172" s="2"/>
      <c r="F172" s="27"/>
      <c r="G172" s="28"/>
      <c r="H172" s="6"/>
      <c r="I172" s="10"/>
      <c r="J172" s="2"/>
      <c r="K172" s="10"/>
      <c r="L172" s="28"/>
      <c r="M172" s="6"/>
      <c r="N172" s="2"/>
    </row>
    <row r="173" spans="1:14" x14ac:dyDescent="0.2">
      <c r="A173" s="45">
        <v>120000</v>
      </c>
      <c r="B173" s="27" t="s">
        <v>203</v>
      </c>
      <c r="C173" s="10"/>
      <c r="D173" s="2"/>
      <c r="E173" s="2"/>
      <c r="F173" s="27"/>
      <c r="G173" s="28"/>
      <c r="H173" s="6"/>
      <c r="I173" s="10"/>
      <c r="J173" s="2"/>
      <c r="K173" s="10"/>
      <c r="L173" s="28"/>
      <c r="M173" s="6"/>
      <c r="N173" s="2"/>
    </row>
    <row r="174" spans="1:14" ht="51" hidden="1" x14ac:dyDescent="0.2">
      <c r="A174" s="45">
        <v>120010</v>
      </c>
      <c r="B174" s="27" t="s">
        <v>145</v>
      </c>
      <c r="C174" s="10"/>
      <c r="D174" s="27" t="s">
        <v>417</v>
      </c>
      <c r="E174" s="27" t="s">
        <v>236</v>
      </c>
      <c r="F174" s="27" t="s">
        <v>418</v>
      </c>
      <c r="G174" s="28" t="s">
        <v>242</v>
      </c>
      <c r="H174" s="6">
        <v>42712</v>
      </c>
      <c r="I174" s="10"/>
      <c r="J174" s="2"/>
      <c r="K174" s="10"/>
      <c r="L174" s="28" t="s">
        <v>262</v>
      </c>
      <c r="M174" s="6">
        <v>42716</v>
      </c>
      <c r="N174" s="2"/>
    </row>
    <row r="175" spans="1:14" ht="25.5" hidden="1" x14ac:dyDescent="0.2">
      <c r="A175" s="45">
        <v>120020</v>
      </c>
      <c r="B175" s="27" t="s">
        <v>204</v>
      </c>
      <c r="C175" s="10"/>
      <c r="D175" s="27" t="s">
        <v>419</v>
      </c>
      <c r="E175" s="27" t="s">
        <v>236</v>
      </c>
      <c r="F175" s="27" t="s">
        <v>268</v>
      </c>
      <c r="G175" s="28" t="s">
        <v>242</v>
      </c>
      <c r="H175" s="6">
        <v>42712</v>
      </c>
      <c r="I175" s="10"/>
      <c r="J175" s="2"/>
      <c r="K175" s="10"/>
      <c r="L175" s="28"/>
      <c r="M175" s="6"/>
      <c r="N175" s="2"/>
    </row>
    <row r="176" spans="1:14" ht="38.25" hidden="1" x14ac:dyDescent="0.2">
      <c r="A176" s="45">
        <v>120030</v>
      </c>
      <c r="B176" s="27" t="s">
        <v>205</v>
      </c>
      <c r="C176" s="10"/>
      <c r="D176" s="27" t="s">
        <v>420</v>
      </c>
      <c r="E176" s="27" t="s">
        <v>236</v>
      </c>
      <c r="F176" s="27" t="s">
        <v>268</v>
      </c>
      <c r="G176" s="28" t="s">
        <v>242</v>
      </c>
      <c r="H176" s="6">
        <v>42712</v>
      </c>
      <c r="I176" s="10"/>
      <c r="J176" s="2"/>
      <c r="K176" s="10"/>
      <c r="L176" s="28"/>
      <c r="M176" s="6"/>
      <c r="N176" s="2"/>
    </row>
    <row r="177" spans="1:14" ht="38.25" hidden="1" x14ac:dyDescent="0.2">
      <c r="A177" s="45">
        <v>120040</v>
      </c>
      <c r="B177" s="27" t="s">
        <v>206</v>
      </c>
      <c r="C177" s="10"/>
      <c r="D177" s="27" t="s">
        <v>421</v>
      </c>
      <c r="E177" s="27" t="s">
        <v>236</v>
      </c>
      <c r="F177" s="27" t="s">
        <v>256</v>
      </c>
      <c r="G177" s="28" t="s">
        <v>242</v>
      </c>
      <c r="H177" s="6">
        <v>42712</v>
      </c>
      <c r="I177" s="10"/>
      <c r="J177" s="2"/>
      <c r="K177" s="10"/>
      <c r="L177" s="28" t="s">
        <v>261</v>
      </c>
      <c r="M177" s="6">
        <v>42713</v>
      </c>
      <c r="N177" s="27" t="s">
        <v>422</v>
      </c>
    </row>
    <row r="178" spans="1:14" ht="63.75" hidden="1" x14ac:dyDescent="0.2">
      <c r="A178" s="45">
        <v>120050</v>
      </c>
      <c r="B178" s="27" t="s">
        <v>207</v>
      </c>
      <c r="C178" s="28" t="s">
        <v>208</v>
      </c>
      <c r="D178" s="27" t="s">
        <v>209</v>
      </c>
      <c r="E178" s="27" t="s">
        <v>236</v>
      </c>
      <c r="F178" s="27" t="s">
        <v>256</v>
      </c>
      <c r="G178" s="28" t="s">
        <v>242</v>
      </c>
      <c r="H178" s="6">
        <v>42712</v>
      </c>
      <c r="I178" s="10"/>
      <c r="J178" s="2"/>
      <c r="K178" s="10"/>
      <c r="L178" s="28" t="s">
        <v>261</v>
      </c>
      <c r="M178" s="6">
        <v>42713</v>
      </c>
      <c r="N178" s="27" t="s">
        <v>423</v>
      </c>
    </row>
    <row r="179" spans="1:14" ht="38.25" hidden="1" x14ac:dyDescent="0.2">
      <c r="A179" s="45">
        <v>120060</v>
      </c>
      <c r="B179" s="27" t="s">
        <v>210</v>
      </c>
      <c r="C179" s="10"/>
      <c r="D179" s="27" t="s">
        <v>424</v>
      </c>
      <c r="E179" s="27" t="s">
        <v>236</v>
      </c>
      <c r="F179" s="27" t="s">
        <v>256</v>
      </c>
      <c r="G179" s="28" t="s">
        <v>242</v>
      </c>
      <c r="H179" s="6">
        <v>42712</v>
      </c>
      <c r="I179" s="10"/>
      <c r="J179" s="2"/>
      <c r="K179" s="10"/>
      <c r="L179" s="28" t="s">
        <v>261</v>
      </c>
      <c r="M179" s="6">
        <v>42713</v>
      </c>
      <c r="N179" s="27" t="s">
        <v>423</v>
      </c>
    </row>
    <row r="180" spans="1:14" ht="38.25" hidden="1" x14ac:dyDescent="0.2">
      <c r="A180" s="45">
        <v>120070</v>
      </c>
      <c r="B180" s="27" t="s">
        <v>425</v>
      </c>
      <c r="C180" s="10"/>
      <c r="D180" s="27" t="s">
        <v>426</v>
      </c>
      <c r="E180" s="27" t="s">
        <v>236</v>
      </c>
      <c r="F180" s="27" t="s">
        <v>256</v>
      </c>
      <c r="G180" s="28" t="s">
        <v>242</v>
      </c>
      <c r="H180" s="6">
        <v>42712</v>
      </c>
      <c r="I180" s="10"/>
      <c r="J180" s="2"/>
      <c r="K180" s="10"/>
      <c r="L180" s="28" t="s">
        <v>261</v>
      </c>
      <c r="M180" s="6">
        <v>42713</v>
      </c>
      <c r="N180" s="27" t="s">
        <v>423</v>
      </c>
    </row>
    <row r="181" spans="1:14" ht="38.25" hidden="1" x14ac:dyDescent="0.2">
      <c r="A181" s="45"/>
      <c r="B181" s="27" t="s">
        <v>211</v>
      </c>
      <c r="C181" s="10"/>
      <c r="D181" s="27" t="s">
        <v>427</v>
      </c>
      <c r="E181" s="27" t="s">
        <v>236</v>
      </c>
      <c r="F181" s="27" t="s">
        <v>256</v>
      </c>
      <c r="G181" s="28" t="s">
        <v>242</v>
      </c>
      <c r="H181" s="6">
        <v>42712</v>
      </c>
      <c r="I181" s="10"/>
      <c r="J181" s="2"/>
      <c r="K181" s="10"/>
      <c r="L181" s="28" t="s">
        <v>261</v>
      </c>
      <c r="M181" s="6">
        <v>42713</v>
      </c>
      <c r="N181" s="27" t="s">
        <v>422</v>
      </c>
    </row>
    <row r="182" spans="1:14" ht="38.25" hidden="1" x14ac:dyDescent="0.2">
      <c r="A182" s="45">
        <v>120080</v>
      </c>
      <c r="B182" s="27" t="s">
        <v>212</v>
      </c>
      <c r="C182" s="10"/>
      <c r="D182" s="27" t="s">
        <v>213</v>
      </c>
      <c r="E182" s="27" t="s">
        <v>236</v>
      </c>
      <c r="F182" s="27" t="s">
        <v>428</v>
      </c>
      <c r="G182" s="28" t="s">
        <v>242</v>
      </c>
      <c r="H182" s="6">
        <v>42712</v>
      </c>
      <c r="I182" s="10"/>
      <c r="J182" s="2"/>
      <c r="K182" s="10"/>
      <c r="L182" s="28" t="s">
        <v>261</v>
      </c>
      <c r="M182" s="6">
        <v>42713</v>
      </c>
      <c r="N182" s="27" t="s">
        <v>422</v>
      </c>
    </row>
    <row r="183" spans="1:14" ht="25.5" hidden="1" x14ac:dyDescent="0.2">
      <c r="A183" s="45">
        <v>120090</v>
      </c>
      <c r="B183" s="27" t="s">
        <v>429</v>
      </c>
      <c r="C183" s="10"/>
      <c r="D183" s="27" t="s">
        <v>430</v>
      </c>
      <c r="E183" s="27" t="s">
        <v>236</v>
      </c>
      <c r="F183" s="27" t="s">
        <v>268</v>
      </c>
      <c r="G183" s="28" t="s">
        <v>242</v>
      </c>
      <c r="H183" s="6">
        <v>42712</v>
      </c>
      <c r="I183" s="10"/>
      <c r="J183" s="2"/>
      <c r="K183" s="10"/>
      <c r="L183" s="28"/>
      <c r="M183" s="6"/>
      <c r="N183" s="2"/>
    </row>
    <row r="184" spans="1:14" ht="51" hidden="1" x14ac:dyDescent="0.2">
      <c r="A184" s="45">
        <v>120100</v>
      </c>
      <c r="B184" s="27" t="s">
        <v>214</v>
      </c>
      <c r="C184" s="10"/>
      <c r="D184" s="27" t="s">
        <v>215</v>
      </c>
      <c r="E184" s="27" t="s">
        <v>236</v>
      </c>
      <c r="F184" s="27" t="s">
        <v>243</v>
      </c>
      <c r="G184" s="28" t="s">
        <v>242</v>
      </c>
      <c r="H184" s="6">
        <v>42712</v>
      </c>
      <c r="I184" s="10"/>
      <c r="J184" s="2"/>
      <c r="K184" s="10"/>
      <c r="L184" s="28" t="s">
        <v>261</v>
      </c>
      <c r="M184" s="6">
        <v>42713</v>
      </c>
      <c r="N184" s="27" t="s">
        <v>422</v>
      </c>
    </row>
    <row r="185" spans="1:14" ht="51" hidden="1" x14ac:dyDescent="0.2">
      <c r="A185" s="45">
        <v>120110</v>
      </c>
      <c r="B185" s="27" t="s">
        <v>431</v>
      </c>
      <c r="C185" s="10"/>
      <c r="D185" s="27" t="s">
        <v>432</v>
      </c>
      <c r="E185" s="27" t="s">
        <v>236</v>
      </c>
      <c r="F185" s="27" t="s">
        <v>243</v>
      </c>
      <c r="G185" s="28" t="s">
        <v>242</v>
      </c>
      <c r="H185" s="6">
        <v>42712</v>
      </c>
      <c r="I185" s="10"/>
      <c r="J185" s="2"/>
      <c r="K185" s="10"/>
      <c r="L185" s="28" t="s">
        <v>261</v>
      </c>
      <c r="M185" s="6">
        <v>42713</v>
      </c>
      <c r="N185" s="27" t="s">
        <v>422</v>
      </c>
    </row>
    <row r="186" spans="1:14" ht="114.75" hidden="1" x14ac:dyDescent="0.2">
      <c r="A186" s="45">
        <v>120120</v>
      </c>
      <c r="B186" s="27" t="s">
        <v>216</v>
      </c>
      <c r="C186" s="10"/>
      <c r="D186" s="27" t="s">
        <v>433</v>
      </c>
      <c r="E186" s="27" t="s">
        <v>236</v>
      </c>
      <c r="F186" s="27" t="s">
        <v>434</v>
      </c>
      <c r="G186" s="28" t="s">
        <v>242</v>
      </c>
      <c r="H186" s="6">
        <v>42712</v>
      </c>
      <c r="I186" s="10"/>
      <c r="J186" s="2"/>
      <c r="K186" s="10"/>
      <c r="L186" s="28" t="s">
        <v>261</v>
      </c>
      <c r="M186" s="6">
        <v>42713</v>
      </c>
      <c r="N186" s="27" t="s">
        <v>422</v>
      </c>
    </row>
    <row r="187" spans="1:14" ht="38.25" hidden="1" x14ac:dyDescent="0.2">
      <c r="A187" s="45">
        <v>120130</v>
      </c>
      <c r="B187" s="27" t="s">
        <v>436</v>
      </c>
      <c r="C187" s="10"/>
      <c r="D187" s="27" t="s">
        <v>435</v>
      </c>
      <c r="E187" s="27" t="s">
        <v>236</v>
      </c>
      <c r="F187" s="27" t="s">
        <v>437</v>
      </c>
      <c r="G187" s="28" t="s">
        <v>242</v>
      </c>
      <c r="H187" s="6">
        <v>42712</v>
      </c>
      <c r="I187" s="10"/>
      <c r="J187" s="2"/>
      <c r="K187" s="10"/>
      <c r="L187" s="28" t="s">
        <v>261</v>
      </c>
      <c r="M187" s="6">
        <v>42713</v>
      </c>
      <c r="N187" s="27" t="s">
        <v>422</v>
      </c>
    </row>
    <row r="188" spans="1:14" ht="51" x14ac:dyDescent="0.2">
      <c r="A188" s="45">
        <v>120140</v>
      </c>
      <c r="B188" s="27" t="s">
        <v>438</v>
      </c>
      <c r="C188" s="10"/>
      <c r="D188" s="27" t="s">
        <v>439</v>
      </c>
      <c r="E188" s="2"/>
      <c r="F188" s="27"/>
      <c r="G188" s="28"/>
      <c r="H188" s="6"/>
      <c r="I188" s="10"/>
      <c r="J188" s="2"/>
      <c r="K188" s="10"/>
      <c r="L188" s="28"/>
      <c r="M188" s="6"/>
      <c r="N188" s="2"/>
    </row>
    <row r="189" spans="1:14" ht="51" hidden="1" x14ac:dyDescent="0.2">
      <c r="A189" s="45">
        <v>120150</v>
      </c>
      <c r="B189" s="27" t="s">
        <v>217</v>
      </c>
      <c r="C189" s="10"/>
      <c r="D189" s="27" t="s">
        <v>218</v>
      </c>
      <c r="E189" s="27" t="s">
        <v>236</v>
      </c>
      <c r="F189" s="27" t="s">
        <v>268</v>
      </c>
      <c r="G189" s="28" t="s">
        <v>242</v>
      </c>
      <c r="H189" s="6">
        <v>42712</v>
      </c>
      <c r="I189" s="10"/>
      <c r="J189" s="2"/>
      <c r="K189" s="10"/>
      <c r="L189" s="28"/>
      <c r="M189" s="6"/>
      <c r="N189" s="2"/>
    </row>
    <row r="190" spans="1:14" ht="38.25" hidden="1" x14ac:dyDescent="0.2">
      <c r="A190" s="45">
        <v>120160</v>
      </c>
      <c r="B190" s="27" t="s">
        <v>219</v>
      </c>
      <c r="C190" s="10"/>
      <c r="D190" s="27" t="s">
        <v>440</v>
      </c>
      <c r="E190" s="27" t="s">
        <v>236</v>
      </c>
      <c r="F190" s="27" t="s">
        <v>268</v>
      </c>
      <c r="G190" s="28" t="s">
        <v>242</v>
      </c>
      <c r="H190" s="6">
        <v>42712</v>
      </c>
      <c r="I190" s="10"/>
      <c r="J190" s="2"/>
      <c r="K190" s="10"/>
      <c r="L190" s="28"/>
      <c r="M190" s="6"/>
      <c r="N190" s="2"/>
    </row>
    <row r="191" spans="1:14" x14ac:dyDescent="0.2">
      <c r="A191" s="45">
        <v>130000</v>
      </c>
      <c r="B191" s="27" t="s">
        <v>220</v>
      </c>
      <c r="C191" s="10"/>
      <c r="D191" s="2"/>
      <c r="E191" s="2"/>
      <c r="F191" s="27"/>
      <c r="G191" s="28"/>
      <c r="H191" s="6"/>
      <c r="I191" s="10"/>
      <c r="J191" s="2"/>
      <c r="K191" s="10"/>
      <c r="L191" s="28"/>
      <c r="M191" s="6"/>
      <c r="N191" s="2"/>
    </row>
    <row r="192" spans="1:14" ht="25.5" hidden="1" x14ac:dyDescent="0.2">
      <c r="A192" s="45">
        <v>130010</v>
      </c>
      <c r="B192" s="27" t="s">
        <v>221</v>
      </c>
      <c r="C192" s="10"/>
      <c r="D192" s="27" t="s">
        <v>222</v>
      </c>
      <c r="E192" s="27" t="s">
        <v>236</v>
      </c>
      <c r="F192" s="27" t="s">
        <v>268</v>
      </c>
      <c r="G192" s="28" t="s">
        <v>241</v>
      </c>
      <c r="H192" s="6">
        <v>42712</v>
      </c>
      <c r="I192" s="10"/>
      <c r="J192" s="2"/>
      <c r="K192" s="10"/>
      <c r="L192" s="28"/>
      <c r="M192" s="6"/>
      <c r="N192" s="2"/>
    </row>
    <row r="193" spans="1:14" ht="38.25" hidden="1" x14ac:dyDescent="0.2">
      <c r="A193" s="45">
        <v>130020</v>
      </c>
      <c r="B193" s="27" t="s">
        <v>223</v>
      </c>
      <c r="C193" s="10"/>
      <c r="D193" s="27" t="s">
        <v>441</v>
      </c>
      <c r="E193" s="27" t="s">
        <v>236</v>
      </c>
      <c r="F193" s="27" t="s">
        <v>268</v>
      </c>
      <c r="G193" s="28" t="s">
        <v>241</v>
      </c>
      <c r="H193" s="6">
        <v>42712</v>
      </c>
      <c r="I193" s="10"/>
      <c r="J193" s="2"/>
      <c r="K193" s="10"/>
      <c r="L193" s="28"/>
      <c r="M193" s="6"/>
      <c r="N193" s="2"/>
    </row>
    <row r="194" spans="1:14" x14ac:dyDescent="0.2">
      <c r="A194" s="45">
        <v>130030</v>
      </c>
      <c r="B194" s="2"/>
      <c r="C194" s="10"/>
      <c r="D194" s="2"/>
      <c r="E194" s="2"/>
      <c r="F194" s="27"/>
      <c r="G194" s="28"/>
      <c r="H194" s="6"/>
      <c r="I194" s="10"/>
      <c r="J194" s="2"/>
      <c r="K194" s="10"/>
      <c r="L194" s="28"/>
      <c r="M194" s="6"/>
      <c r="N194" s="2"/>
    </row>
    <row r="195" spans="1:14" x14ac:dyDescent="0.2">
      <c r="A195" s="45">
        <v>130040</v>
      </c>
      <c r="B195" s="2"/>
      <c r="C195" s="10"/>
      <c r="D195" s="2"/>
      <c r="E195" s="2"/>
      <c r="F195" s="27"/>
      <c r="G195" s="28"/>
      <c r="H195" s="6"/>
      <c r="I195" s="10"/>
      <c r="J195" s="2"/>
      <c r="K195" s="10"/>
      <c r="L195" s="28"/>
      <c r="M195" s="6"/>
      <c r="N195" s="2"/>
    </row>
    <row r="196" spans="1:14" x14ac:dyDescent="0.2">
      <c r="A196" s="45">
        <v>130050</v>
      </c>
      <c r="B196" s="2"/>
      <c r="C196" s="10"/>
      <c r="D196" s="2"/>
      <c r="E196" s="2"/>
      <c r="F196" s="27"/>
      <c r="G196" s="28"/>
      <c r="H196" s="6"/>
      <c r="I196" s="10"/>
      <c r="J196" s="2"/>
      <c r="K196" s="10"/>
      <c r="L196" s="28"/>
      <c r="M196" s="6"/>
      <c r="N196" s="2"/>
    </row>
    <row r="197" spans="1:14" x14ac:dyDescent="0.2">
      <c r="A197" s="45">
        <v>140000</v>
      </c>
      <c r="B197" s="27" t="s">
        <v>224</v>
      </c>
      <c r="C197" s="10"/>
      <c r="D197" s="2"/>
      <c r="E197" s="2"/>
      <c r="F197" s="27"/>
      <c r="G197" s="28"/>
      <c r="H197" s="6"/>
      <c r="I197" s="10"/>
      <c r="J197" s="2"/>
      <c r="K197" s="10"/>
      <c r="L197" s="28"/>
      <c r="M197" s="6"/>
      <c r="N197" s="2"/>
    </row>
    <row r="198" spans="1:14" ht="63.75" hidden="1" x14ac:dyDescent="0.2">
      <c r="A198" s="45">
        <v>140010</v>
      </c>
      <c r="B198" s="27" t="s">
        <v>442</v>
      </c>
      <c r="C198" s="10"/>
      <c r="D198" s="27" t="s">
        <v>443</v>
      </c>
      <c r="E198" s="27" t="s">
        <v>236</v>
      </c>
      <c r="F198" s="27" t="s">
        <v>268</v>
      </c>
      <c r="G198" s="28" t="s">
        <v>242</v>
      </c>
      <c r="H198" s="6">
        <v>42712</v>
      </c>
      <c r="I198" s="10"/>
      <c r="J198" s="2"/>
      <c r="K198" s="10"/>
      <c r="L198" s="28"/>
      <c r="M198" s="6"/>
      <c r="N198" s="2"/>
    </row>
    <row r="199" spans="1:14" ht="51" hidden="1" x14ac:dyDescent="0.2">
      <c r="A199" s="45">
        <v>140020</v>
      </c>
      <c r="B199" s="27" t="s">
        <v>225</v>
      </c>
      <c r="C199" s="10"/>
      <c r="D199" s="27" t="s">
        <v>226</v>
      </c>
      <c r="E199" s="27" t="s">
        <v>236</v>
      </c>
      <c r="F199" s="27" t="s">
        <v>444</v>
      </c>
      <c r="G199" s="28" t="s">
        <v>242</v>
      </c>
      <c r="H199" s="6">
        <v>42712</v>
      </c>
      <c r="I199" s="10"/>
      <c r="J199" s="2"/>
      <c r="K199" s="10"/>
      <c r="L199" s="28" t="s">
        <v>262</v>
      </c>
      <c r="M199" s="6">
        <v>42716</v>
      </c>
      <c r="N199" s="2"/>
    </row>
    <row r="200" spans="1:14" ht="51" hidden="1" x14ac:dyDescent="0.2">
      <c r="A200" s="45">
        <v>140030</v>
      </c>
      <c r="B200" s="27" t="s">
        <v>445</v>
      </c>
      <c r="C200" s="10"/>
      <c r="D200" s="27" t="s">
        <v>446</v>
      </c>
      <c r="E200" s="2"/>
      <c r="F200" s="27" t="s">
        <v>447</v>
      </c>
      <c r="G200" s="28" t="s">
        <v>249</v>
      </c>
      <c r="H200" s="6">
        <v>42712</v>
      </c>
      <c r="I200" s="10"/>
      <c r="J200" s="2"/>
      <c r="K200" s="10"/>
      <c r="L200" s="28" t="s">
        <v>262</v>
      </c>
      <c r="M200" s="6">
        <v>42716</v>
      </c>
      <c r="N200" s="2"/>
    </row>
    <row r="201" spans="1:14" ht="51" hidden="1" x14ac:dyDescent="0.2">
      <c r="A201" s="45">
        <v>140040</v>
      </c>
      <c r="B201" s="27" t="s">
        <v>227</v>
      </c>
      <c r="C201" s="10"/>
      <c r="D201" s="27" t="s">
        <v>448</v>
      </c>
      <c r="E201" s="2"/>
      <c r="F201" s="27" t="s">
        <v>447</v>
      </c>
      <c r="G201" s="28" t="s">
        <v>249</v>
      </c>
      <c r="H201" s="6">
        <v>42712</v>
      </c>
      <c r="I201" s="10"/>
      <c r="J201" s="2"/>
      <c r="K201" s="10"/>
      <c r="L201" s="28" t="s">
        <v>262</v>
      </c>
      <c r="M201" s="6">
        <v>42716</v>
      </c>
      <c r="N201" s="2"/>
    </row>
    <row r="202" spans="1:14" x14ac:dyDescent="0.2">
      <c r="A202" s="45">
        <v>140050</v>
      </c>
      <c r="B202" s="2"/>
      <c r="C202" s="10"/>
      <c r="D202" s="2"/>
      <c r="E202" s="2"/>
      <c r="F202" s="27"/>
      <c r="G202" s="28"/>
      <c r="H202" s="6"/>
      <c r="I202" s="10"/>
      <c r="J202" s="2"/>
      <c r="K202" s="10"/>
      <c r="L202" s="28"/>
      <c r="M202" s="6"/>
      <c r="N202" s="2"/>
    </row>
    <row r="203" spans="1:14" x14ac:dyDescent="0.2">
      <c r="A203" s="45">
        <v>150000</v>
      </c>
      <c r="B203" s="27" t="s">
        <v>228</v>
      </c>
      <c r="C203" s="10"/>
      <c r="D203" s="2"/>
      <c r="E203" s="2"/>
      <c r="F203" s="27"/>
      <c r="G203" s="28"/>
      <c r="H203" s="6"/>
      <c r="I203" s="10"/>
      <c r="J203" s="2"/>
      <c r="K203" s="10"/>
      <c r="L203" s="28"/>
      <c r="M203" s="6"/>
      <c r="N203" s="2"/>
    </row>
    <row r="204" spans="1:14" ht="76.5" hidden="1" x14ac:dyDescent="0.2">
      <c r="A204" s="45">
        <v>150010</v>
      </c>
      <c r="B204" s="27" t="s">
        <v>229</v>
      </c>
      <c r="C204" s="10"/>
      <c r="D204" s="27" t="s">
        <v>449</v>
      </c>
      <c r="E204" s="2"/>
      <c r="F204" s="27" t="s">
        <v>250</v>
      </c>
      <c r="G204" s="28" t="s">
        <v>249</v>
      </c>
      <c r="H204" s="6">
        <v>42712</v>
      </c>
      <c r="I204" s="10"/>
      <c r="J204" s="2"/>
      <c r="K204" s="10"/>
      <c r="L204" s="28" t="s">
        <v>261</v>
      </c>
      <c r="M204" s="6">
        <v>42713</v>
      </c>
      <c r="N204" s="27" t="s">
        <v>450</v>
      </c>
    </row>
    <row r="205" spans="1:14" ht="51" hidden="1" x14ac:dyDescent="0.2">
      <c r="A205" s="45" t="s">
        <v>230</v>
      </c>
      <c r="B205" s="27" t="s">
        <v>451</v>
      </c>
      <c r="C205" s="10"/>
      <c r="D205" s="27" t="s">
        <v>452</v>
      </c>
      <c r="E205" s="2"/>
      <c r="F205" s="27" t="s">
        <v>250</v>
      </c>
      <c r="G205" s="28" t="s">
        <v>249</v>
      </c>
      <c r="H205" s="6">
        <v>42712</v>
      </c>
      <c r="I205" s="10"/>
      <c r="J205" s="2"/>
      <c r="K205" s="10"/>
      <c r="L205" s="28" t="s">
        <v>261</v>
      </c>
      <c r="M205" s="6">
        <v>42713</v>
      </c>
      <c r="N205" s="27" t="s">
        <v>450</v>
      </c>
    </row>
    <row r="206" spans="1:14" x14ac:dyDescent="0.2">
      <c r="A206" s="45">
        <v>160000</v>
      </c>
      <c r="B206" s="27" t="s">
        <v>453</v>
      </c>
      <c r="C206" s="10"/>
      <c r="D206" s="2"/>
      <c r="E206" s="2"/>
      <c r="F206" s="27"/>
      <c r="G206" s="28"/>
      <c r="H206" s="6"/>
      <c r="I206" s="10"/>
      <c r="J206" s="2"/>
      <c r="K206" s="10"/>
      <c r="L206" s="28"/>
      <c r="M206" s="6"/>
      <c r="N206" s="2"/>
    </row>
    <row r="207" spans="1:14" ht="51" hidden="1" x14ac:dyDescent="0.2">
      <c r="A207" s="45">
        <v>160010</v>
      </c>
      <c r="B207" s="27" t="s">
        <v>231</v>
      </c>
      <c r="C207" s="10"/>
      <c r="D207" s="27" t="s">
        <v>454</v>
      </c>
      <c r="E207" s="2"/>
      <c r="F207" s="27" t="s">
        <v>250</v>
      </c>
      <c r="G207" s="28" t="s">
        <v>249</v>
      </c>
      <c r="H207" s="6">
        <v>42712</v>
      </c>
      <c r="I207" s="10"/>
      <c r="J207" s="2"/>
      <c r="K207" s="10"/>
      <c r="L207" s="28" t="s">
        <v>261</v>
      </c>
      <c r="M207" s="6">
        <v>42713</v>
      </c>
      <c r="N207" s="27" t="s">
        <v>450</v>
      </c>
    </row>
    <row r="208" spans="1:14" ht="25.5" hidden="1" x14ac:dyDescent="0.2">
      <c r="A208" s="45">
        <v>160020</v>
      </c>
      <c r="B208" s="27" t="s">
        <v>232</v>
      </c>
      <c r="C208" s="10"/>
      <c r="D208" s="27" t="s">
        <v>455</v>
      </c>
      <c r="E208" s="2"/>
      <c r="F208" s="27" t="s">
        <v>250</v>
      </c>
      <c r="G208" s="28" t="s">
        <v>249</v>
      </c>
      <c r="H208" s="6">
        <v>42712</v>
      </c>
      <c r="I208" s="10"/>
      <c r="J208" s="2"/>
      <c r="K208" s="10"/>
      <c r="L208" s="28" t="s">
        <v>261</v>
      </c>
      <c r="M208" s="6">
        <v>42713</v>
      </c>
      <c r="N208" s="27" t="s">
        <v>450</v>
      </c>
    </row>
    <row r="209" spans="1:14" x14ac:dyDescent="0.2">
      <c r="A209" s="45">
        <v>160030</v>
      </c>
      <c r="B209" s="2"/>
      <c r="C209" s="10"/>
      <c r="D209" s="2"/>
      <c r="E209" s="2"/>
      <c r="F209" s="27"/>
      <c r="G209" s="28"/>
      <c r="H209" s="6"/>
      <c r="I209" s="10"/>
      <c r="J209" s="2"/>
      <c r="K209" s="10"/>
      <c r="L209" s="28"/>
      <c r="M209" s="6"/>
      <c r="N209" s="2"/>
    </row>
    <row r="210" spans="1:14" x14ac:dyDescent="0.2">
      <c r="A210" s="45">
        <v>160040</v>
      </c>
      <c r="B210" s="2"/>
      <c r="C210" s="10"/>
      <c r="D210" s="2"/>
      <c r="E210" s="2"/>
      <c r="F210" s="27"/>
      <c r="G210" s="28"/>
      <c r="H210" s="6"/>
      <c r="I210" s="10"/>
      <c r="J210" s="2"/>
      <c r="K210" s="10"/>
      <c r="L210" s="28"/>
      <c r="M210" s="6"/>
      <c r="N210" s="2"/>
    </row>
    <row r="211" spans="1:14" x14ac:dyDescent="0.2">
      <c r="A211" s="45">
        <v>160050</v>
      </c>
      <c r="B211" s="2"/>
      <c r="C211" s="10"/>
      <c r="D211" s="2"/>
      <c r="E211" s="2"/>
      <c r="F211" s="27"/>
      <c r="G211" s="28"/>
      <c r="H211" s="6"/>
      <c r="I211" s="10"/>
      <c r="J211" s="2"/>
      <c r="K211" s="10"/>
      <c r="L211" s="28"/>
      <c r="M211" s="6"/>
      <c r="N211" s="2"/>
    </row>
    <row r="212" spans="1:14" x14ac:dyDescent="0.2">
      <c r="A212" s="45">
        <v>170000</v>
      </c>
      <c r="B212" s="27" t="s">
        <v>233</v>
      </c>
      <c r="C212" s="10"/>
      <c r="D212" s="2"/>
      <c r="E212" s="2"/>
      <c r="F212" s="27"/>
      <c r="G212" s="28"/>
      <c r="H212" s="6"/>
      <c r="I212" s="10"/>
      <c r="J212" s="2"/>
      <c r="K212" s="10"/>
      <c r="L212" s="28"/>
      <c r="M212" s="6"/>
      <c r="N212" s="2"/>
    </row>
    <row r="213" spans="1:14" ht="25.5" hidden="1" x14ac:dyDescent="0.2">
      <c r="A213" s="45">
        <v>170010</v>
      </c>
      <c r="B213" s="27" t="s">
        <v>456</v>
      </c>
      <c r="C213" s="10"/>
      <c r="D213" s="27" t="s">
        <v>457</v>
      </c>
      <c r="E213" s="27" t="s">
        <v>236</v>
      </c>
      <c r="F213" s="27" t="s">
        <v>268</v>
      </c>
      <c r="G213" s="28" t="s">
        <v>242</v>
      </c>
      <c r="H213" s="6">
        <v>42712</v>
      </c>
      <c r="I213" s="10"/>
      <c r="J213" s="2"/>
      <c r="K213" s="10"/>
      <c r="L213" s="28"/>
      <c r="M213" s="6"/>
      <c r="N213" s="2"/>
    </row>
    <row r="214" spans="1:14" ht="25.5" hidden="1" x14ac:dyDescent="0.2">
      <c r="A214" s="45">
        <v>170020</v>
      </c>
      <c r="B214" s="27" t="s">
        <v>458</v>
      </c>
      <c r="C214" s="10"/>
      <c r="D214" s="27" t="s">
        <v>457</v>
      </c>
      <c r="E214" s="27" t="s">
        <v>236</v>
      </c>
      <c r="F214" s="27" t="s">
        <v>268</v>
      </c>
      <c r="G214" s="28" t="s">
        <v>242</v>
      </c>
      <c r="H214" s="6">
        <v>42712</v>
      </c>
      <c r="I214" s="10"/>
      <c r="J214" s="2"/>
      <c r="K214" s="10"/>
      <c r="L214" s="28"/>
      <c r="M214" s="6"/>
      <c r="N214" s="2"/>
    </row>
    <row r="215" spans="1:14" x14ac:dyDescent="0.2">
      <c r="A215" s="45">
        <v>180000</v>
      </c>
      <c r="B215" s="27" t="s">
        <v>459</v>
      </c>
      <c r="C215" s="10"/>
      <c r="D215" s="2"/>
      <c r="E215" s="2"/>
      <c r="F215" s="27"/>
      <c r="G215" s="28"/>
      <c r="H215" s="6"/>
      <c r="I215" s="10"/>
      <c r="J215" s="2"/>
      <c r="K215" s="10"/>
      <c r="L215" s="28"/>
      <c r="M215" s="6"/>
      <c r="N215" s="2"/>
    </row>
    <row r="216" spans="1:14" ht="25.5" hidden="1" x14ac:dyDescent="0.2">
      <c r="A216" s="45">
        <v>180010</v>
      </c>
      <c r="B216" s="27" t="s">
        <v>234</v>
      </c>
      <c r="C216" s="10"/>
      <c r="D216" s="27" t="s">
        <v>460</v>
      </c>
      <c r="E216" s="27" t="s">
        <v>236</v>
      </c>
      <c r="F216" s="27" t="s">
        <v>268</v>
      </c>
      <c r="G216" s="28" t="s">
        <v>242</v>
      </c>
      <c r="H216" s="6">
        <v>42712</v>
      </c>
      <c r="I216" s="10"/>
      <c r="J216" s="2"/>
      <c r="K216" s="10"/>
      <c r="L216" s="28"/>
      <c r="M216" s="6"/>
      <c r="N216" s="2"/>
    </row>
    <row r="217" spans="1:14" ht="25.5" hidden="1" x14ac:dyDescent="0.2">
      <c r="A217" s="45">
        <v>180020</v>
      </c>
      <c r="B217" s="27" t="s">
        <v>461</v>
      </c>
      <c r="C217" s="10"/>
      <c r="D217" s="27" t="s">
        <v>460</v>
      </c>
      <c r="E217" s="27" t="s">
        <v>236</v>
      </c>
      <c r="F217" s="27" t="s">
        <v>268</v>
      </c>
      <c r="G217" s="28" t="s">
        <v>242</v>
      </c>
      <c r="H217" s="6">
        <v>42712</v>
      </c>
      <c r="I217" s="10"/>
      <c r="J217" s="2"/>
      <c r="K217" s="10"/>
      <c r="L217" s="28"/>
      <c r="M217" s="6"/>
      <c r="N217" s="2"/>
    </row>
    <row r="218" spans="1:14" x14ac:dyDescent="0.2">
      <c r="A218" s="45">
        <v>180030</v>
      </c>
      <c r="B218" s="2"/>
      <c r="C218" s="10"/>
      <c r="D218" s="2"/>
      <c r="E218" s="2"/>
      <c r="F218" s="27"/>
      <c r="G218" s="28"/>
      <c r="H218" s="6"/>
      <c r="I218" s="10"/>
      <c r="J218" s="2"/>
      <c r="K218" s="10"/>
      <c r="L218" s="28"/>
      <c r="M218" s="6"/>
      <c r="N218" s="2"/>
    </row>
    <row r="219" spans="1:14" x14ac:dyDescent="0.2">
      <c r="A219" s="45">
        <v>180040</v>
      </c>
      <c r="B219" s="2"/>
      <c r="C219" s="10"/>
      <c r="D219" s="2"/>
      <c r="E219" s="2"/>
      <c r="F219" s="27"/>
      <c r="G219" s="28"/>
      <c r="H219" s="6"/>
      <c r="I219" s="10"/>
      <c r="J219" s="2"/>
      <c r="K219" s="10"/>
      <c r="L219" s="28"/>
      <c r="M219" s="6"/>
      <c r="N219" s="2"/>
    </row>
    <row r="220" spans="1:14" x14ac:dyDescent="0.2">
      <c r="A220" s="45">
        <v>180050</v>
      </c>
      <c r="B220" s="2"/>
      <c r="C220" s="10"/>
      <c r="D220" s="2"/>
      <c r="E220" s="2"/>
      <c r="F220" s="27"/>
      <c r="G220" s="28"/>
      <c r="H220" s="6"/>
      <c r="I220" s="10"/>
      <c r="J220" s="2"/>
      <c r="K220" s="10"/>
      <c r="L220" s="28"/>
      <c r="M220" s="6"/>
      <c r="N220" s="2"/>
    </row>
    <row r="221" spans="1:14" x14ac:dyDescent="0.2">
      <c r="A221" s="45">
        <v>190000</v>
      </c>
      <c r="B221" s="27" t="s">
        <v>237</v>
      </c>
      <c r="C221" s="10"/>
      <c r="D221" s="2"/>
      <c r="E221" s="2"/>
      <c r="F221" s="27"/>
      <c r="G221" s="28"/>
      <c r="H221" s="6"/>
      <c r="I221" s="10"/>
      <c r="J221" s="2"/>
      <c r="K221" s="10"/>
      <c r="L221" s="28"/>
      <c r="M221" s="6"/>
      <c r="N221" s="2"/>
    </row>
    <row r="222" spans="1:14" ht="25.5" hidden="1" x14ac:dyDescent="0.2">
      <c r="A222" s="45">
        <v>190010</v>
      </c>
      <c r="B222" s="27" t="s">
        <v>238</v>
      </c>
      <c r="C222" s="10"/>
      <c r="D222" s="27" t="s">
        <v>239</v>
      </c>
      <c r="E222" s="27"/>
      <c r="F222" s="27" t="s">
        <v>240</v>
      </c>
      <c r="G222" s="28" t="s">
        <v>241</v>
      </c>
      <c r="H222" s="6">
        <v>42712</v>
      </c>
      <c r="I222" s="10"/>
      <c r="J222" s="2"/>
      <c r="K222" s="10"/>
      <c r="L222" s="28" t="s">
        <v>262</v>
      </c>
      <c r="M222" s="6">
        <v>42717</v>
      </c>
      <c r="N222" s="2"/>
    </row>
    <row r="223" spans="1:14" ht="114.75" hidden="1" x14ac:dyDescent="0.2">
      <c r="A223" s="45">
        <v>190030</v>
      </c>
      <c r="B223" s="27" t="s">
        <v>244</v>
      </c>
      <c r="C223" s="10"/>
      <c r="D223" s="27" t="s">
        <v>462</v>
      </c>
      <c r="E223" s="2"/>
      <c r="F223" s="27" t="s">
        <v>463</v>
      </c>
      <c r="G223" s="28" t="s">
        <v>241</v>
      </c>
      <c r="H223" s="6">
        <v>42712</v>
      </c>
      <c r="I223" s="10"/>
      <c r="J223" s="2"/>
      <c r="K223" s="10"/>
      <c r="L223" s="28" t="s">
        <v>262</v>
      </c>
      <c r="M223" s="6">
        <v>42716</v>
      </c>
      <c r="N223" s="2"/>
    </row>
    <row r="224" spans="1:14" ht="25.5" hidden="1" x14ac:dyDescent="0.2">
      <c r="A224" s="45">
        <v>190040</v>
      </c>
      <c r="B224" s="27" t="s">
        <v>464</v>
      </c>
      <c r="C224" s="10"/>
      <c r="D224" s="27" t="s">
        <v>247</v>
      </c>
      <c r="E224" s="2"/>
      <c r="F224" s="27" t="s">
        <v>248</v>
      </c>
      <c r="G224" s="28" t="s">
        <v>242</v>
      </c>
      <c r="H224" s="6">
        <v>42712</v>
      </c>
      <c r="I224" s="10"/>
      <c r="J224" s="2"/>
      <c r="K224" s="10"/>
      <c r="L224" s="28" t="s">
        <v>261</v>
      </c>
      <c r="M224" s="6">
        <v>42717</v>
      </c>
      <c r="N224" s="27" t="s">
        <v>469</v>
      </c>
    </row>
    <row r="225" spans="1:13" ht="25.5" hidden="1" x14ac:dyDescent="0.2">
      <c r="A225" s="45">
        <v>190080</v>
      </c>
      <c r="B225" s="27" t="s">
        <v>465</v>
      </c>
      <c r="C225" s="10"/>
      <c r="D225" s="27" t="s">
        <v>254</v>
      </c>
      <c r="E225" s="2"/>
      <c r="F225" s="27" t="s">
        <v>255</v>
      </c>
      <c r="G225" s="28" t="s">
        <v>242</v>
      </c>
      <c r="H225" s="3">
        <v>42712</v>
      </c>
      <c r="L225" s="50" t="s">
        <v>262</v>
      </c>
      <c r="M225" s="3">
        <v>42716</v>
      </c>
    </row>
    <row r="226" spans="1:13" x14ac:dyDescent="0.2">
      <c r="A226" s="45">
        <v>190090</v>
      </c>
      <c r="B226" s="2"/>
      <c r="C226" s="10"/>
      <c r="D226" s="2"/>
    </row>
    <row r="227" spans="1:13" x14ac:dyDescent="0.2">
      <c r="A227" s="45">
        <v>190100</v>
      </c>
      <c r="B227" s="2"/>
      <c r="C227" s="10"/>
      <c r="D227" s="2"/>
    </row>
    <row r="228" spans="1:13" x14ac:dyDescent="0.2">
      <c r="A228" s="45">
        <v>210000</v>
      </c>
      <c r="B228" s="2"/>
      <c r="C228" s="10"/>
      <c r="D228" s="2"/>
    </row>
    <row r="229" spans="1:13" x14ac:dyDescent="0.2">
      <c r="A229" s="45">
        <v>210010</v>
      </c>
      <c r="B229" s="27" t="s">
        <v>466</v>
      </c>
      <c r="C229" s="10"/>
      <c r="D229" s="2"/>
      <c r="F229" s="26" t="s">
        <v>471</v>
      </c>
    </row>
    <row r="230" spans="1:13" hidden="1" x14ac:dyDescent="0.2">
      <c r="A230" s="45">
        <v>210030</v>
      </c>
      <c r="B230" s="27" t="s">
        <v>266</v>
      </c>
      <c r="C230" s="10"/>
      <c r="D230" s="27" t="s">
        <v>467</v>
      </c>
      <c r="F230" s="26" t="s">
        <v>468</v>
      </c>
      <c r="G230" s="51" t="s">
        <v>261</v>
      </c>
      <c r="L230" s="50" t="s">
        <v>261</v>
      </c>
      <c r="M230" s="3">
        <v>42716</v>
      </c>
    </row>
    <row r="231" spans="1:13" x14ac:dyDescent="0.2">
      <c r="A231" s="45">
        <v>210040</v>
      </c>
      <c r="B231" s="2"/>
      <c r="C231" s="10"/>
      <c r="D231" s="2"/>
    </row>
    <row r="232" spans="1:13" x14ac:dyDescent="0.2">
      <c r="A232" s="45">
        <v>210050</v>
      </c>
      <c r="B232" s="2"/>
      <c r="C232" s="10"/>
      <c r="D232" s="2"/>
    </row>
    <row r="233" spans="1:13" x14ac:dyDescent="0.2">
      <c r="A233" s="45">
        <v>220000</v>
      </c>
      <c r="B233" s="2"/>
      <c r="C233" s="10"/>
      <c r="D233" s="2"/>
    </row>
    <row r="234" spans="1:13" x14ac:dyDescent="0.2">
      <c r="A234" s="45">
        <v>220010</v>
      </c>
      <c r="B234" s="2"/>
      <c r="C234" s="10"/>
      <c r="D234" s="2"/>
    </row>
    <row r="235" spans="1:13" x14ac:dyDescent="0.2">
      <c r="A235" s="45">
        <v>220020</v>
      </c>
      <c r="B235" s="2"/>
      <c r="C235" s="10"/>
      <c r="D235" s="2"/>
    </row>
    <row r="236" spans="1:13" x14ac:dyDescent="0.2">
      <c r="A236" s="45">
        <v>220030</v>
      </c>
      <c r="B236" s="2"/>
      <c r="C236" s="10"/>
      <c r="D236" s="2"/>
    </row>
    <row r="237" spans="1:13" x14ac:dyDescent="0.2">
      <c r="A237" s="45">
        <v>220040</v>
      </c>
      <c r="B237" s="2"/>
      <c r="C237" s="10"/>
      <c r="D237" s="2"/>
    </row>
    <row r="238" spans="1:13" x14ac:dyDescent="0.2">
      <c r="A238" s="45">
        <v>220050</v>
      </c>
      <c r="B238" s="2"/>
      <c r="C238" s="10"/>
      <c r="D238" s="2"/>
    </row>
    <row r="239" spans="1:13" x14ac:dyDescent="0.2">
      <c r="A239" s="45">
        <v>230000</v>
      </c>
      <c r="B239" s="2"/>
      <c r="C239" s="10"/>
      <c r="D239" s="2"/>
    </row>
    <row r="240" spans="1:13" x14ac:dyDescent="0.2">
      <c r="A240" s="45">
        <v>230010</v>
      </c>
      <c r="B240" s="2"/>
      <c r="C240" s="10"/>
      <c r="D240" s="2"/>
    </row>
    <row r="241" spans="1:4" x14ac:dyDescent="0.2">
      <c r="A241" s="45">
        <v>230020</v>
      </c>
      <c r="B241" s="2"/>
      <c r="C241" s="10"/>
      <c r="D241" s="2"/>
    </row>
    <row r="242" spans="1:4" x14ac:dyDescent="0.2">
      <c r="A242" s="45">
        <v>230030</v>
      </c>
      <c r="B242" s="2"/>
      <c r="C242" s="10"/>
      <c r="D242" s="2"/>
    </row>
    <row r="243" spans="1:4" x14ac:dyDescent="0.2">
      <c r="A243" s="45">
        <v>230040</v>
      </c>
      <c r="B243" s="2"/>
      <c r="C243" s="10"/>
      <c r="D243" s="2"/>
    </row>
    <row r="244" spans="1:4" x14ac:dyDescent="0.2">
      <c r="A244" s="45">
        <v>230050</v>
      </c>
      <c r="B244" s="2"/>
      <c r="C244" s="10"/>
      <c r="D244" s="2"/>
    </row>
    <row r="245" spans="1:4" x14ac:dyDescent="0.2">
      <c r="A245" s="45">
        <v>240000</v>
      </c>
      <c r="B245" s="2"/>
      <c r="C245" s="10"/>
      <c r="D245" s="2"/>
    </row>
    <row r="246" spans="1:4" x14ac:dyDescent="0.2">
      <c r="A246" s="45">
        <v>240010</v>
      </c>
      <c r="B246" s="2"/>
      <c r="C246" s="10"/>
      <c r="D246" s="2"/>
    </row>
    <row r="247" spans="1:4" x14ac:dyDescent="0.2">
      <c r="A247" s="45">
        <v>240020</v>
      </c>
      <c r="B247" s="2"/>
      <c r="C247" s="10"/>
      <c r="D247" s="2"/>
    </row>
    <row r="248" spans="1:4" x14ac:dyDescent="0.2">
      <c r="A248" s="45">
        <v>240030</v>
      </c>
      <c r="B248" s="2"/>
      <c r="C248" s="10"/>
      <c r="D248" s="2"/>
    </row>
    <row r="249" spans="1:4" x14ac:dyDescent="0.2">
      <c r="A249" s="45">
        <v>240040</v>
      </c>
      <c r="B249" s="2"/>
      <c r="C249" s="10"/>
      <c r="D249" s="2"/>
    </row>
    <row r="250" spans="1:4" x14ac:dyDescent="0.2">
      <c r="A250" s="45">
        <v>240050</v>
      </c>
      <c r="B250" s="2"/>
      <c r="C250" s="10"/>
      <c r="D250" s="2"/>
    </row>
    <row r="251" spans="1:4" x14ac:dyDescent="0.2">
      <c r="A251" s="45">
        <v>250000</v>
      </c>
      <c r="B251" s="2"/>
      <c r="C251" s="10"/>
      <c r="D251" s="2"/>
    </row>
    <row r="252" spans="1:4" x14ac:dyDescent="0.2">
      <c r="A252" s="45">
        <v>250010</v>
      </c>
      <c r="B252" s="2"/>
      <c r="C252" s="10"/>
      <c r="D252" s="2"/>
    </row>
    <row r="253" spans="1:4" x14ac:dyDescent="0.2">
      <c r="A253" s="45">
        <v>250020</v>
      </c>
      <c r="B253" s="2"/>
      <c r="C253" s="10"/>
      <c r="D253" s="2"/>
    </row>
    <row r="254" spans="1:4" x14ac:dyDescent="0.2">
      <c r="A254" s="45">
        <v>250030</v>
      </c>
      <c r="B254" s="2"/>
      <c r="C254" s="10"/>
      <c r="D254" s="2"/>
    </row>
    <row r="255" spans="1:4" x14ac:dyDescent="0.2">
      <c r="A255" s="45">
        <v>250040</v>
      </c>
      <c r="B255" s="2"/>
      <c r="C255" s="10"/>
      <c r="D255" s="2"/>
    </row>
    <row r="256" spans="1:4" x14ac:dyDescent="0.2">
      <c r="A256" s="45">
        <v>250050</v>
      </c>
      <c r="B256" s="2"/>
      <c r="C256" s="10"/>
      <c r="D256" s="2"/>
    </row>
    <row r="257" spans="1:4" x14ac:dyDescent="0.2">
      <c r="A257" s="45">
        <v>260000</v>
      </c>
      <c r="B257" s="2"/>
      <c r="C257" s="10"/>
      <c r="D257" s="2"/>
    </row>
    <row r="258" spans="1:4" x14ac:dyDescent="0.2">
      <c r="A258" s="45">
        <v>260010</v>
      </c>
      <c r="B258" s="2"/>
      <c r="C258" s="10"/>
      <c r="D258" s="2"/>
    </row>
    <row r="259" spans="1:4" x14ac:dyDescent="0.2">
      <c r="A259" s="45">
        <v>260020</v>
      </c>
      <c r="B259" s="2"/>
      <c r="C259" s="10"/>
      <c r="D259" s="2"/>
    </row>
    <row r="260" spans="1:4" x14ac:dyDescent="0.2">
      <c r="A260" s="45">
        <v>260030</v>
      </c>
      <c r="B260" s="2"/>
      <c r="C260" s="10"/>
      <c r="D260" s="2"/>
    </row>
    <row r="261" spans="1:4" x14ac:dyDescent="0.2">
      <c r="A261" s="45">
        <v>260040</v>
      </c>
      <c r="B261" s="2"/>
      <c r="C261" s="10"/>
      <c r="D261" s="2"/>
    </row>
    <row r="262" spans="1:4" x14ac:dyDescent="0.2">
      <c r="A262" s="45">
        <v>260050</v>
      </c>
      <c r="B262" s="2"/>
      <c r="C262" s="10"/>
      <c r="D262" s="2"/>
    </row>
    <row r="263" spans="1:4" x14ac:dyDescent="0.2">
      <c r="A263" s="45">
        <v>270000</v>
      </c>
      <c r="B263" s="2"/>
      <c r="C263" s="10"/>
      <c r="D263" s="2"/>
    </row>
    <row r="264" spans="1:4" x14ac:dyDescent="0.2">
      <c r="A264" s="45">
        <v>270010</v>
      </c>
      <c r="B264" s="2"/>
      <c r="C264" s="10"/>
      <c r="D264" s="2"/>
    </row>
    <row r="265" spans="1:4" x14ac:dyDescent="0.2">
      <c r="A265" s="45">
        <v>270020</v>
      </c>
      <c r="B265" s="2"/>
      <c r="C265" s="10"/>
      <c r="D265" s="2"/>
    </row>
    <row r="266" spans="1:4" x14ac:dyDescent="0.2">
      <c r="A266" s="45">
        <v>270030</v>
      </c>
      <c r="B266" s="2"/>
      <c r="C266" s="10"/>
      <c r="D266" s="2"/>
    </row>
    <row r="267" spans="1:4" x14ac:dyDescent="0.2">
      <c r="A267" s="45">
        <v>270040</v>
      </c>
      <c r="B267" s="2"/>
      <c r="C267" s="10"/>
      <c r="D267" s="2"/>
    </row>
    <row r="268" spans="1:4" x14ac:dyDescent="0.2">
      <c r="A268" s="45">
        <v>270050</v>
      </c>
      <c r="B268" s="2"/>
      <c r="C268" s="10"/>
      <c r="D268" s="2"/>
    </row>
    <row r="269" spans="1:4" x14ac:dyDescent="0.2">
      <c r="A269" s="45">
        <v>280000</v>
      </c>
      <c r="B269" s="2"/>
      <c r="C269" s="10"/>
      <c r="D269" s="2"/>
    </row>
    <row r="270" spans="1:4" x14ac:dyDescent="0.2">
      <c r="A270" s="29"/>
    </row>
    <row r="271" spans="1:4" x14ac:dyDescent="0.2">
      <c r="A271" s="29"/>
    </row>
    <row r="272" spans="1:4" x14ac:dyDescent="0.2">
      <c r="A272" s="29"/>
    </row>
    <row r="273" spans="1:1" x14ac:dyDescent="0.2">
      <c r="A273" s="29"/>
    </row>
    <row r="274" spans="1:1" x14ac:dyDescent="0.2">
      <c r="A274" s="29"/>
    </row>
    <row r="275" spans="1:1" x14ac:dyDescent="0.2">
      <c r="A275" s="29"/>
    </row>
    <row r="276" spans="1:1" x14ac:dyDescent="0.2">
      <c r="A276" s="29"/>
    </row>
    <row r="277" spans="1:1" x14ac:dyDescent="0.2">
      <c r="A277" s="29"/>
    </row>
    <row r="278" spans="1:1" x14ac:dyDescent="0.2">
      <c r="A278" s="29"/>
    </row>
    <row r="279" spans="1:1" x14ac:dyDescent="0.2">
      <c r="A279" s="29"/>
    </row>
    <row r="280" spans="1:1" x14ac:dyDescent="0.2">
      <c r="A280" s="29"/>
    </row>
    <row r="281" spans="1:1" x14ac:dyDescent="0.2">
      <c r="A281" s="29"/>
    </row>
    <row r="282" spans="1:1" x14ac:dyDescent="0.2">
      <c r="A282" s="29"/>
    </row>
    <row r="283" spans="1:1" x14ac:dyDescent="0.2">
      <c r="A283" s="29"/>
    </row>
    <row r="284" spans="1:1" x14ac:dyDescent="0.2">
      <c r="A284" s="29"/>
    </row>
    <row r="285" spans="1:1" x14ac:dyDescent="0.2">
      <c r="A285" s="29"/>
    </row>
    <row r="286" spans="1:1" x14ac:dyDescent="0.2">
      <c r="A286" s="29"/>
    </row>
    <row r="287" spans="1:1" x14ac:dyDescent="0.2">
      <c r="A287" s="29"/>
    </row>
    <row r="288" spans="1:1" x14ac:dyDescent="0.2">
      <c r="A288" s="29"/>
    </row>
    <row r="289" spans="1:1" x14ac:dyDescent="0.2">
      <c r="A289" s="29"/>
    </row>
    <row r="290" spans="1:1" x14ac:dyDescent="0.2">
      <c r="A290" s="29"/>
    </row>
    <row r="291" spans="1:1" x14ac:dyDescent="0.2">
      <c r="A291" s="29"/>
    </row>
    <row r="292" spans="1:1" x14ac:dyDescent="0.2">
      <c r="A292" s="29"/>
    </row>
    <row r="293" spans="1:1" x14ac:dyDescent="0.2">
      <c r="A293" s="29"/>
    </row>
    <row r="294" spans="1:1" x14ac:dyDescent="0.2">
      <c r="A294" s="29"/>
    </row>
    <row r="295" spans="1:1" x14ac:dyDescent="0.2">
      <c r="A295" s="29"/>
    </row>
    <row r="296" spans="1:1" x14ac:dyDescent="0.2">
      <c r="A296" s="29"/>
    </row>
    <row r="297" spans="1:1" x14ac:dyDescent="0.2">
      <c r="A297" s="29"/>
    </row>
    <row r="298" spans="1:1" x14ac:dyDescent="0.2">
      <c r="A298" s="29"/>
    </row>
    <row r="299" spans="1:1" x14ac:dyDescent="0.2">
      <c r="A299" s="29"/>
    </row>
    <row r="300" spans="1:1" x14ac:dyDescent="0.2">
      <c r="A300" s="29"/>
    </row>
    <row r="301" spans="1:1" x14ac:dyDescent="0.2">
      <c r="A301" s="29"/>
    </row>
    <row r="302" spans="1:1" x14ac:dyDescent="0.2">
      <c r="A302" s="29"/>
    </row>
    <row r="303" spans="1:1" x14ac:dyDescent="0.2">
      <c r="A303" s="29"/>
    </row>
    <row r="304" spans="1:1" x14ac:dyDescent="0.2">
      <c r="A304" s="29"/>
    </row>
    <row r="305" spans="1:1" x14ac:dyDescent="0.2">
      <c r="A305" s="29"/>
    </row>
    <row r="306" spans="1:1" x14ac:dyDescent="0.2">
      <c r="A306" s="29"/>
    </row>
    <row r="307" spans="1:1" x14ac:dyDescent="0.2">
      <c r="A307" s="29"/>
    </row>
    <row r="308" spans="1:1" x14ac:dyDescent="0.2">
      <c r="A308" s="29"/>
    </row>
    <row r="309" spans="1:1" x14ac:dyDescent="0.2">
      <c r="A309" s="29"/>
    </row>
    <row r="310" spans="1:1" x14ac:dyDescent="0.2">
      <c r="A310" s="29"/>
    </row>
    <row r="311" spans="1:1" x14ac:dyDescent="0.2">
      <c r="A311" s="29"/>
    </row>
    <row r="312" spans="1:1" x14ac:dyDescent="0.2">
      <c r="A312" s="29"/>
    </row>
    <row r="313" spans="1:1" x14ac:dyDescent="0.2">
      <c r="A313" s="29"/>
    </row>
    <row r="314" spans="1:1" x14ac:dyDescent="0.2">
      <c r="A314" s="29"/>
    </row>
    <row r="315" spans="1:1" x14ac:dyDescent="0.2">
      <c r="A315" s="29"/>
    </row>
    <row r="316" spans="1:1" x14ac:dyDescent="0.2">
      <c r="A316" s="29"/>
    </row>
    <row r="317" spans="1:1" x14ac:dyDescent="0.2">
      <c r="A317" s="29"/>
    </row>
    <row r="318" spans="1:1" x14ac:dyDescent="0.2">
      <c r="A318" s="29"/>
    </row>
    <row r="319" spans="1:1" x14ac:dyDescent="0.2">
      <c r="A319" s="29"/>
    </row>
    <row r="320" spans="1:1" x14ac:dyDescent="0.2">
      <c r="A320" s="29"/>
    </row>
    <row r="321" spans="1:1" x14ac:dyDescent="0.2">
      <c r="A321" s="29"/>
    </row>
    <row r="322" spans="1:1" x14ac:dyDescent="0.2">
      <c r="A322" s="29"/>
    </row>
    <row r="323" spans="1:1" x14ac:dyDescent="0.2">
      <c r="A323" s="29"/>
    </row>
    <row r="324" spans="1:1" x14ac:dyDescent="0.2">
      <c r="A324" s="29"/>
    </row>
    <row r="325" spans="1:1" x14ac:dyDescent="0.2">
      <c r="A325" s="29"/>
    </row>
    <row r="326" spans="1:1" x14ac:dyDescent="0.2">
      <c r="A326" s="29"/>
    </row>
    <row r="327" spans="1:1" x14ac:dyDescent="0.2">
      <c r="A327" s="29"/>
    </row>
    <row r="328" spans="1:1" x14ac:dyDescent="0.2">
      <c r="A328" s="29"/>
    </row>
    <row r="329" spans="1:1" x14ac:dyDescent="0.2">
      <c r="A329" s="29"/>
    </row>
    <row r="330" spans="1:1" x14ac:dyDescent="0.2">
      <c r="A330" s="29"/>
    </row>
    <row r="331" spans="1:1" x14ac:dyDescent="0.2">
      <c r="A331" s="29"/>
    </row>
    <row r="332" spans="1:1" x14ac:dyDescent="0.2">
      <c r="A332" s="29"/>
    </row>
    <row r="333" spans="1:1" x14ac:dyDescent="0.2">
      <c r="A333" s="29"/>
    </row>
    <row r="334" spans="1:1" x14ac:dyDescent="0.2">
      <c r="A334" s="29"/>
    </row>
    <row r="335" spans="1:1" x14ac:dyDescent="0.2">
      <c r="A335" s="29"/>
    </row>
    <row r="336" spans="1:1" x14ac:dyDescent="0.2">
      <c r="A336" s="29"/>
    </row>
    <row r="337" spans="1:1" x14ac:dyDescent="0.2">
      <c r="A337" s="29"/>
    </row>
    <row r="338" spans="1:1" x14ac:dyDescent="0.2">
      <c r="A338" s="29"/>
    </row>
    <row r="339" spans="1:1" x14ac:dyDescent="0.2">
      <c r="A339" s="29"/>
    </row>
    <row r="340" spans="1:1" x14ac:dyDescent="0.2">
      <c r="A340" s="29"/>
    </row>
    <row r="341" spans="1:1" x14ac:dyDescent="0.2">
      <c r="A341" s="29"/>
    </row>
    <row r="342" spans="1:1" x14ac:dyDescent="0.2">
      <c r="A342" s="29"/>
    </row>
    <row r="343" spans="1:1" x14ac:dyDescent="0.2">
      <c r="A343" s="29"/>
    </row>
    <row r="344" spans="1:1" x14ac:dyDescent="0.2">
      <c r="A344" s="29"/>
    </row>
    <row r="345" spans="1:1" x14ac:dyDescent="0.2">
      <c r="A345" s="29"/>
    </row>
    <row r="346" spans="1:1" x14ac:dyDescent="0.2">
      <c r="A346" s="29"/>
    </row>
    <row r="347" spans="1:1" x14ac:dyDescent="0.2">
      <c r="A347" s="29"/>
    </row>
    <row r="348" spans="1:1" x14ac:dyDescent="0.2">
      <c r="A348" s="29"/>
    </row>
    <row r="349" spans="1:1" x14ac:dyDescent="0.2">
      <c r="A349" s="29"/>
    </row>
    <row r="350" spans="1:1" x14ac:dyDescent="0.2">
      <c r="A350" s="29"/>
    </row>
    <row r="351" spans="1:1" x14ac:dyDescent="0.2">
      <c r="A351" s="29"/>
    </row>
    <row r="352" spans="1:1" x14ac:dyDescent="0.2">
      <c r="A352" s="29"/>
    </row>
    <row r="353" spans="1:1" x14ac:dyDescent="0.2">
      <c r="A353" s="29"/>
    </row>
    <row r="354" spans="1:1" x14ac:dyDescent="0.2">
      <c r="A354" s="29"/>
    </row>
    <row r="355" spans="1:1" x14ac:dyDescent="0.2">
      <c r="A355" s="29"/>
    </row>
    <row r="356" spans="1:1" x14ac:dyDescent="0.2">
      <c r="A356" s="29"/>
    </row>
    <row r="357" spans="1:1" x14ac:dyDescent="0.2">
      <c r="A357" s="29"/>
    </row>
    <row r="358" spans="1:1" x14ac:dyDescent="0.2">
      <c r="A358" s="29"/>
    </row>
    <row r="359" spans="1:1" x14ac:dyDescent="0.2">
      <c r="A359" s="29"/>
    </row>
    <row r="360" spans="1:1" x14ac:dyDescent="0.2">
      <c r="A360" s="29"/>
    </row>
    <row r="361" spans="1:1" x14ac:dyDescent="0.2">
      <c r="A361" s="29"/>
    </row>
    <row r="362" spans="1:1" x14ac:dyDescent="0.2">
      <c r="A362" s="29"/>
    </row>
    <row r="363" spans="1:1" x14ac:dyDescent="0.2">
      <c r="A363" s="29"/>
    </row>
    <row r="364" spans="1:1" x14ac:dyDescent="0.2">
      <c r="A364" s="29"/>
    </row>
    <row r="365" spans="1:1" x14ac:dyDescent="0.2">
      <c r="A365" s="29"/>
    </row>
    <row r="366" spans="1:1" x14ac:dyDescent="0.2">
      <c r="A366" s="29"/>
    </row>
    <row r="367" spans="1:1" x14ac:dyDescent="0.2">
      <c r="A367" s="29"/>
    </row>
    <row r="368" spans="1:1" x14ac:dyDescent="0.2">
      <c r="A368" s="29"/>
    </row>
    <row r="369" spans="1:1" x14ac:dyDescent="0.2">
      <c r="A369" s="29"/>
    </row>
    <row r="370" spans="1:1" x14ac:dyDescent="0.2">
      <c r="A370" s="29"/>
    </row>
    <row r="371" spans="1:1" x14ac:dyDescent="0.2">
      <c r="A371" s="29"/>
    </row>
    <row r="372" spans="1:1" x14ac:dyDescent="0.2">
      <c r="A372" s="29"/>
    </row>
    <row r="373" spans="1:1" x14ac:dyDescent="0.2">
      <c r="A373" s="29"/>
    </row>
    <row r="374" spans="1:1" x14ac:dyDescent="0.2">
      <c r="A374" s="29"/>
    </row>
    <row r="375" spans="1:1" x14ac:dyDescent="0.2">
      <c r="A375" s="29"/>
    </row>
    <row r="376" spans="1:1" x14ac:dyDescent="0.2">
      <c r="A376" s="29"/>
    </row>
    <row r="377" spans="1:1" x14ac:dyDescent="0.2">
      <c r="A377" s="29"/>
    </row>
    <row r="378" spans="1:1" x14ac:dyDescent="0.2">
      <c r="A378" s="29"/>
    </row>
    <row r="379" spans="1:1" x14ac:dyDescent="0.2">
      <c r="A379" s="29"/>
    </row>
    <row r="380" spans="1:1" x14ac:dyDescent="0.2">
      <c r="A380" s="29"/>
    </row>
    <row r="381" spans="1:1" x14ac:dyDescent="0.2">
      <c r="A381" s="29"/>
    </row>
    <row r="382" spans="1:1" x14ac:dyDescent="0.2">
      <c r="A382" s="29"/>
    </row>
    <row r="383" spans="1:1" x14ac:dyDescent="0.2">
      <c r="A383" s="29"/>
    </row>
    <row r="384" spans="1:1" x14ac:dyDescent="0.2">
      <c r="A384" s="29"/>
    </row>
    <row r="385" spans="1:1" x14ac:dyDescent="0.2">
      <c r="A385" s="29"/>
    </row>
    <row r="386" spans="1:1" x14ac:dyDescent="0.2">
      <c r="A386" s="29"/>
    </row>
    <row r="387" spans="1:1" x14ac:dyDescent="0.2">
      <c r="A387" s="29"/>
    </row>
    <row r="388" spans="1:1" x14ac:dyDescent="0.2">
      <c r="A388" s="29"/>
    </row>
    <row r="389" spans="1:1" x14ac:dyDescent="0.2">
      <c r="A389" s="29"/>
    </row>
    <row r="390" spans="1:1" x14ac:dyDescent="0.2">
      <c r="A390" s="29"/>
    </row>
    <row r="391" spans="1:1" x14ac:dyDescent="0.2">
      <c r="A391" s="29"/>
    </row>
    <row r="392" spans="1:1" x14ac:dyDescent="0.2">
      <c r="A392" s="29"/>
    </row>
    <row r="393" spans="1:1" x14ac:dyDescent="0.2">
      <c r="A393" s="29"/>
    </row>
    <row r="394" spans="1:1" x14ac:dyDescent="0.2">
      <c r="A394" s="29"/>
    </row>
    <row r="395" spans="1:1" x14ac:dyDescent="0.2">
      <c r="A395" s="29"/>
    </row>
    <row r="396" spans="1:1" x14ac:dyDescent="0.2">
      <c r="A396" s="29"/>
    </row>
    <row r="397" spans="1:1" x14ac:dyDescent="0.2">
      <c r="A397" s="29"/>
    </row>
    <row r="398" spans="1:1" x14ac:dyDescent="0.2">
      <c r="A398" s="29"/>
    </row>
    <row r="399" spans="1:1" x14ac:dyDescent="0.2">
      <c r="A399" s="29"/>
    </row>
    <row r="400" spans="1:1" x14ac:dyDescent="0.2">
      <c r="A400" s="29"/>
    </row>
    <row r="401" spans="1:1" x14ac:dyDescent="0.2">
      <c r="A401" s="29"/>
    </row>
    <row r="402" spans="1:1" x14ac:dyDescent="0.2">
      <c r="A402" s="29"/>
    </row>
    <row r="403" spans="1:1" x14ac:dyDescent="0.2">
      <c r="A403" s="29"/>
    </row>
    <row r="404" spans="1:1" x14ac:dyDescent="0.2">
      <c r="A404" s="29"/>
    </row>
    <row r="405" spans="1:1" x14ac:dyDescent="0.2">
      <c r="A405" s="29"/>
    </row>
    <row r="406" spans="1:1" x14ac:dyDescent="0.2">
      <c r="A406" s="29"/>
    </row>
    <row r="407" spans="1:1" x14ac:dyDescent="0.2">
      <c r="A407" s="29"/>
    </row>
    <row r="408" spans="1:1" x14ac:dyDescent="0.2">
      <c r="A408" s="29"/>
    </row>
    <row r="409" spans="1:1" x14ac:dyDescent="0.2">
      <c r="A409" s="29"/>
    </row>
    <row r="410" spans="1:1" x14ac:dyDescent="0.2">
      <c r="A410" s="29"/>
    </row>
    <row r="411" spans="1:1" x14ac:dyDescent="0.2">
      <c r="A411" s="29"/>
    </row>
    <row r="412" spans="1:1" x14ac:dyDescent="0.2">
      <c r="A412" s="29"/>
    </row>
    <row r="413" spans="1:1" x14ac:dyDescent="0.2">
      <c r="A413" s="29"/>
    </row>
    <row r="414" spans="1:1" x14ac:dyDescent="0.2">
      <c r="A414" s="29"/>
    </row>
    <row r="415" spans="1:1" x14ac:dyDescent="0.2">
      <c r="A415" s="29"/>
    </row>
    <row r="416" spans="1:1" x14ac:dyDescent="0.2">
      <c r="A416" s="29"/>
    </row>
    <row r="417" spans="1:1" x14ac:dyDescent="0.2">
      <c r="A417" s="29"/>
    </row>
    <row r="418" spans="1:1" x14ac:dyDescent="0.2">
      <c r="A418" s="29"/>
    </row>
    <row r="419" spans="1:1" x14ac:dyDescent="0.2">
      <c r="A419" s="29"/>
    </row>
    <row r="420" spans="1:1" x14ac:dyDescent="0.2">
      <c r="A420" s="29"/>
    </row>
    <row r="421" spans="1:1" x14ac:dyDescent="0.2">
      <c r="A421" s="29"/>
    </row>
    <row r="422" spans="1:1" x14ac:dyDescent="0.2">
      <c r="A422" s="29"/>
    </row>
    <row r="423" spans="1:1" x14ac:dyDescent="0.2">
      <c r="A423" s="29"/>
    </row>
    <row r="424" spans="1:1" x14ac:dyDescent="0.2">
      <c r="A424" s="29"/>
    </row>
    <row r="425" spans="1:1" x14ac:dyDescent="0.2">
      <c r="A425" s="29"/>
    </row>
    <row r="426" spans="1:1" x14ac:dyDescent="0.2">
      <c r="A426" s="29"/>
    </row>
    <row r="427" spans="1:1" x14ac:dyDescent="0.2">
      <c r="A427" s="29"/>
    </row>
    <row r="428" spans="1:1" x14ac:dyDescent="0.2">
      <c r="A428" s="29"/>
    </row>
    <row r="429" spans="1:1" x14ac:dyDescent="0.2">
      <c r="A429" s="29"/>
    </row>
    <row r="430" spans="1:1" x14ac:dyDescent="0.2">
      <c r="A430" s="29"/>
    </row>
    <row r="431" spans="1:1" x14ac:dyDescent="0.2">
      <c r="A431" s="29"/>
    </row>
    <row r="432" spans="1:1" x14ac:dyDescent="0.2">
      <c r="A432" s="29"/>
    </row>
    <row r="433" spans="1:1" x14ac:dyDescent="0.2">
      <c r="A433" s="29"/>
    </row>
    <row r="434" spans="1:1" x14ac:dyDescent="0.2">
      <c r="A434" s="29"/>
    </row>
    <row r="435" spans="1:1" x14ac:dyDescent="0.2">
      <c r="A435" s="29"/>
    </row>
    <row r="436" spans="1:1" x14ac:dyDescent="0.2">
      <c r="A436" s="29"/>
    </row>
    <row r="437" spans="1:1" x14ac:dyDescent="0.2">
      <c r="A437" s="29"/>
    </row>
    <row r="438" spans="1:1" x14ac:dyDescent="0.2">
      <c r="A438" s="29"/>
    </row>
    <row r="439" spans="1:1" x14ac:dyDescent="0.2">
      <c r="A439" s="29"/>
    </row>
    <row r="440" spans="1:1" x14ac:dyDescent="0.2">
      <c r="A440" s="29"/>
    </row>
    <row r="441" spans="1:1" x14ac:dyDescent="0.2">
      <c r="A441" s="29"/>
    </row>
    <row r="442" spans="1:1" x14ac:dyDescent="0.2">
      <c r="A442" s="29"/>
    </row>
    <row r="443" spans="1:1" x14ac:dyDescent="0.2">
      <c r="A443" s="29"/>
    </row>
    <row r="444" spans="1:1" x14ac:dyDescent="0.2">
      <c r="A444" s="29"/>
    </row>
    <row r="445" spans="1:1" x14ac:dyDescent="0.2">
      <c r="A445" s="29"/>
    </row>
    <row r="446" spans="1:1" x14ac:dyDescent="0.2">
      <c r="A446" s="29"/>
    </row>
    <row r="447" spans="1:1" x14ac:dyDescent="0.2">
      <c r="A447" s="29"/>
    </row>
    <row r="448" spans="1:1" x14ac:dyDescent="0.2">
      <c r="A448" s="29"/>
    </row>
    <row r="449" spans="1:1" x14ac:dyDescent="0.2">
      <c r="A449" s="29"/>
    </row>
    <row r="450" spans="1:1" x14ac:dyDescent="0.2">
      <c r="A450" s="29"/>
    </row>
    <row r="451" spans="1:1" x14ac:dyDescent="0.2">
      <c r="A451" s="29"/>
    </row>
    <row r="452" spans="1:1" x14ac:dyDescent="0.2">
      <c r="A452" s="29"/>
    </row>
    <row r="453" spans="1:1" x14ac:dyDescent="0.2">
      <c r="A453" s="29"/>
    </row>
    <row r="454" spans="1:1" x14ac:dyDescent="0.2">
      <c r="A454" s="29"/>
    </row>
    <row r="455" spans="1:1" x14ac:dyDescent="0.2">
      <c r="A455" s="29"/>
    </row>
    <row r="456" spans="1:1" x14ac:dyDescent="0.2">
      <c r="A456" s="29"/>
    </row>
    <row r="457" spans="1:1" x14ac:dyDescent="0.2">
      <c r="A457" s="29"/>
    </row>
    <row r="458" spans="1:1" x14ac:dyDescent="0.2">
      <c r="A458" s="29"/>
    </row>
    <row r="459" spans="1:1" x14ac:dyDescent="0.2">
      <c r="A459" s="29"/>
    </row>
    <row r="460" spans="1:1" x14ac:dyDescent="0.2">
      <c r="A460" s="29"/>
    </row>
    <row r="461" spans="1:1" x14ac:dyDescent="0.2">
      <c r="A461" s="29"/>
    </row>
    <row r="462" spans="1:1" x14ac:dyDescent="0.2">
      <c r="A462" s="29"/>
    </row>
    <row r="463" spans="1:1" x14ac:dyDescent="0.2">
      <c r="A463" s="29"/>
    </row>
    <row r="464" spans="1:1" x14ac:dyDescent="0.2">
      <c r="A464" s="29"/>
    </row>
    <row r="465" spans="1:1" x14ac:dyDescent="0.2">
      <c r="A465" s="29"/>
    </row>
    <row r="466" spans="1:1" x14ac:dyDescent="0.2">
      <c r="A466" s="29"/>
    </row>
    <row r="467" spans="1:1" x14ac:dyDescent="0.2">
      <c r="A467" s="29"/>
    </row>
    <row r="468" spans="1:1" x14ac:dyDescent="0.2">
      <c r="A468" s="29"/>
    </row>
    <row r="469" spans="1:1" x14ac:dyDescent="0.2">
      <c r="A469" s="29"/>
    </row>
    <row r="470" spans="1:1" x14ac:dyDescent="0.2">
      <c r="A470" s="29"/>
    </row>
    <row r="471" spans="1:1" x14ac:dyDescent="0.2">
      <c r="A471" s="29"/>
    </row>
    <row r="472" spans="1:1" x14ac:dyDescent="0.2">
      <c r="A472" s="29"/>
    </row>
    <row r="473" spans="1:1" x14ac:dyDescent="0.2">
      <c r="A473" s="29"/>
    </row>
    <row r="474" spans="1:1" x14ac:dyDescent="0.2">
      <c r="A474" s="29"/>
    </row>
    <row r="475" spans="1:1" x14ac:dyDescent="0.2">
      <c r="A475" s="29"/>
    </row>
    <row r="476" spans="1:1" x14ac:dyDescent="0.2">
      <c r="A476" s="29"/>
    </row>
    <row r="477" spans="1:1" x14ac:dyDescent="0.2">
      <c r="A477" s="29"/>
    </row>
    <row r="478" spans="1:1" x14ac:dyDescent="0.2">
      <c r="A478" s="29"/>
    </row>
    <row r="479" spans="1:1" x14ac:dyDescent="0.2">
      <c r="A479" s="29"/>
    </row>
    <row r="480" spans="1:1" x14ac:dyDescent="0.2">
      <c r="A480" s="29"/>
    </row>
    <row r="481" spans="1:1" x14ac:dyDescent="0.2">
      <c r="A481" s="29"/>
    </row>
    <row r="482" spans="1:1" x14ac:dyDescent="0.2">
      <c r="A482" s="29"/>
    </row>
    <row r="483" spans="1:1" x14ac:dyDescent="0.2">
      <c r="A483" s="29"/>
    </row>
    <row r="484" spans="1:1" x14ac:dyDescent="0.2">
      <c r="A484" s="29"/>
    </row>
    <row r="485" spans="1:1" x14ac:dyDescent="0.2">
      <c r="A485" s="29"/>
    </row>
    <row r="486" spans="1:1" x14ac:dyDescent="0.2">
      <c r="A486" s="29"/>
    </row>
    <row r="487" spans="1:1" x14ac:dyDescent="0.2">
      <c r="A487" s="29"/>
    </row>
    <row r="488" spans="1:1" x14ac:dyDescent="0.2">
      <c r="A488" s="29"/>
    </row>
    <row r="489" spans="1:1" x14ac:dyDescent="0.2">
      <c r="A489" s="29"/>
    </row>
    <row r="490" spans="1:1" x14ac:dyDescent="0.2">
      <c r="A490" s="29"/>
    </row>
    <row r="491" spans="1:1" x14ac:dyDescent="0.2">
      <c r="A491" s="29"/>
    </row>
    <row r="492" spans="1:1" x14ac:dyDescent="0.2">
      <c r="A492" s="29"/>
    </row>
    <row r="493" spans="1:1" x14ac:dyDescent="0.2">
      <c r="A493" s="29"/>
    </row>
    <row r="494" spans="1:1" x14ac:dyDescent="0.2">
      <c r="A494" s="29"/>
    </row>
    <row r="495" spans="1:1" x14ac:dyDescent="0.2">
      <c r="A495" s="29"/>
    </row>
    <row r="496" spans="1:1" x14ac:dyDescent="0.2">
      <c r="A496" s="29"/>
    </row>
    <row r="497" spans="1:14" x14ac:dyDescent="0.2">
      <c r="A497" s="29"/>
    </row>
    <row r="498" spans="1:14" x14ac:dyDescent="0.2">
      <c r="A498" s="29"/>
    </row>
    <row r="499" spans="1:14" x14ac:dyDescent="0.2">
      <c r="A499" s="29"/>
    </row>
    <row r="500" spans="1:14" x14ac:dyDescent="0.2">
      <c r="A500" s="29"/>
    </row>
    <row r="501" spans="1:14" x14ac:dyDescent="0.2">
      <c r="A501" s="29"/>
      <c r="B501" s="2"/>
      <c r="C501" s="10"/>
      <c r="D501" s="2"/>
      <c r="E501" s="21"/>
      <c r="F501" s="2" t="s">
        <v>12</v>
      </c>
      <c r="G501" s="10" t="s">
        <v>12</v>
      </c>
      <c r="H501" s="6" t="s">
        <v>12</v>
      </c>
      <c r="I501" s="10"/>
      <c r="J501" s="2" t="s">
        <v>12</v>
      </c>
      <c r="K501" s="22" t="s">
        <v>12</v>
      </c>
      <c r="L501" s="10" t="s">
        <v>12</v>
      </c>
      <c r="M501" s="6" t="s">
        <v>12</v>
      </c>
      <c r="N501" s="21" t="s">
        <v>12</v>
      </c>
    </row>
    <row r="502" spans="1:14" x14ac:dyDescent="0.2">
      <c r="A502" s="29"/>
    </row>
    <row r="503" spans="1:14" x14ac:dyDescent="0.2">
      <c r="A503" s="29"/>
    </row>
    <row r="504" spans="1:14" x14ac:dyDescent="0.2">
      <c r="A504" s="29"/>
    </row>
    <row r="505" spans="1:14" x14ac:dyDescent="0.2">
      <c r="A505" s="29"/>
    </row>
    <row r="506" spans="1:14" x14ac:dyDescent="0.2">
      <c r="A506" s="29"/>
    </row>
    <row r="507" spans="1:14" x14ac:dyDescent="0.2">
      <c r="A507" s="29"/>
    </row>
    <row r="508" spans="1:14" x14ac:dyDescent="0.2">
      <c r="A508" s="29"/>
    </row>
    <row r="509" spans="1:14" x14ac:dyDescent="0.2">
      <c r="A509" s="29"/>
    </row>
    <row r="510" spans="1:14" x14ac:dyDescent="0.2">
      <c r="A510" s="29"/>
    </row>
    <row r="511" spans="1:14" x14ac:dyDescent="0.2">
      <c r="A511" s="29"/>
    </row>
    <row r="512" spans="1:14" x14ac:dyDescent="0.2">
      <c r="A512" s="29"/>
    </row>
    <row r="513" spans="1:1" x14ac:dyDescent="0.2">
      <c r="A513" s="29"/>
    </row>
    <row r="514" spans="1:1" x14ac:dyDescent="0.2">
      <c r="A514" s="29"/>
    </row>
    <row r="515" spans="1:1" x14ac:dyDescent="0.2">
      <c r="A515" s="29"/>
    </row>
    <row r="516" spans="1:1" x14ac:dyDescent="0.2">
      <c r="A516" s="29"/>
    </row>
    <row r="517" spans="1:1" x14ac:dyDescent="0.2">
      <c r="A517" s="29"/>
    </row>
    <row r="518" spans="1:1" x14ac:dyDescent="0.2">
      <c r="A518" s="29"/>
    </row>
    <row r="519" spans="1:1" x14ac:dyDescent="0.2">
      <c r="A519" s="29"/>
    </row>
    <row r="520" spans="1:1" x14ac:dyDescent="0.2">
      <c r="A520" s="29"/>
    </row>
    <row r="521" spans="1:1" x14ac:dyDescent="0.2">
      <c r="A521" s="29"/>
    </row>
    <row r="522" spans="1:1" x14ac:dyDescent="0.2">
      <c r="A522" s="29"/>
    </row>
    <row r="523" spans="1:1" x14ac:dyDescent="0.2">
      <c r="A523" s="29"/>
    </row>
    <row r="524" spans="1:1" x14ac:dyDescent="0.2">
      <c r="A524" s="29"/>
    </row>
    <row r="525" spans="1:1" x14ac:dyDescent="0.2">
      <c r="A525" s="29"/>
    </row>
    <row r="526" spans="1:1" x14ac:dyDescent="0.2">
      <c r="A526" s="29"/>
    </row>
    <row r="527" spans="1:1" x14ac:dyDescent="0.2">
      <c r="A527" s="29"/>
    </row>
    <row r="528" spans="1:1" x14ac:dyDescent="0.2">
      <c r="A528" s="29"/>
    </row>
    <row r="529" spans="1:1" x14ac:dyDescent="0.2">
      <c r="A529" s="29"/>
    </row>
    <row r="530" spans="1:1" x14ac:dyDescent="0.2">
      <c r="A530" s="29"/>
    </row>
    <row r="531" spans="1:1" x14ac:dyDescent="0.2">
      <c r="A531" s="29"/>
    </row>
    <row r="532" spans="1:1" x14ac:dyDescent="0.2">
      <c r="A532" s="29"/>
    </row>
    <row r="533" spans="1:1" x14ac:dyDescent="0.2">
      <c r="A533" s="29"/>
    </row>
    <row r="534" spans="1:1" x14ac:dyDescent="0.2">
      <c r="A534" s="29"/>
    </row>
    <row r="535" spans="1:1" x14ac:dyDescent="0.2">
      <c r="A535" s="29"/>
    </row>
    <row r="536" spans="1:1" x14ac:dyDescent="0.2">
      <c r="A536" s="29"/>
    </row>
    <row r="537" spans="1:1" x14ac:dyDescent="0.2">
      <c r="A537" s="29"/>
    </row>
    <row r="538" spans="1:1" x14ac:dyDescent="0.2">
      <c r="A538" s="29"/>
    </row>
    <row r="539" spans="1:1" x14ac:dyDescent="0.2">
      <c r="A539" s="29"/>
    </row>
    <row r="540" spans="1:1" x14ac:dyDescent="0.2">
      <c r="A540" s="29"/>
    </row>
    <row r="541" spans="1:1" x14ac:dyDescent="0.2">
      <c r="A541" s="29"/>
    </row>
    <row r="542" spans="1:1" x14ac:dyDescent="0.2">
      <c r="A542" s="29"/>
    </row>
    <row r="543" spans="1:1" x14ac:dyDescent="0.2">
      <c r="A543" s="29"/>
    </row>
    <row r="544" spans="1:1" x14ac:dyDescent="0.2">
      <c r="A544" s="29"/>
    </row>
    <row r="545" spans="1:1" x14ac:dyDescent="0.2">
      <c r="A545" s="29"/>
    </row>
    <row r="546" spans="1:1" x14ac:dyDescent="0.2">
      <c r="A546" s="29"/>
    </row>
    <row r="547" spans="1:1" x14ac:dyDescent="0.2">
      <c r="A547" s="29"/>
    </row>
    <row r="548" spans="1:1" x14ac:dyDescent="0.2">
      <c r="A548" s="29"/>
    </row>
    <row r="549" spans="1:1" x14ac:dyDescent="0.2">
      <c r="A549" s="29"/>
    </row>
  </sheetData>
  <sortState ref="A7:L500">
    <sortCondition ref="L7"/>
    <sortCondition ref="A7"/>
  </sortState>
  <mergeCells count="1">
    <mergeCell ref="A2:B2"/>
  </mergeCells>
  <phoneticPr fontId="2" type="noConversion"/>
  <conditionalFormatting sqref="A270:A549 H203:N208 E202:N202 H200:N201 H61:N101 E209:N223 E8:G53 E102:N199 H8:N58 A8:D199 E59:N60 A228:D269 A223:A227 B223:D225">
    <cfRule type="expression" dxfId="26" priority="154" stopIfTrue="1">
      <formula>AND($F8&lt;&gt;"ok",$F8&lt;&gt;"na",$G8&lt;&gt;"",$L8="")</formula>
    </cfRule>
    <cfRule type="expression" dxfId="25" priority="156" stopIfTrue="1">
      <formula>AND($F8="na")</formula>
    </cfRule>
  </conditionalFormatting>
  <conditionalFormatting sqref="A501:N501">
    <cfRule type="expression" dxfId="24" priority="46" stopIfTrue="1">
      <formula>AND($F501&lt;&gt;"ok",$F501&lt;&gt;"na",$G501&lt;&gt;"",$L501="")</formula>
    </cfRule>
    <cfRule type="expression" dxfId="23" priority="47" stopIfTrue="1">
      <formula>AND(MID($A501,4,4)=".000")</formula>
    </cfRule>
    <cfRule type="expression" dxfId="22" priority="48" stopIfTrue="1">
      <formula>AND($F501="na")</formula>
    </cfRule>
  </conditionalFormatting>
  <conditionalFormatting sqref="A270:N501 H203:N208 E202:N202 H200:N201 H61:N101 E209:N222 E8:G53 E102:N199 H8:N58 A8:D199 E59:N60 E226:N269 A228:D269 A223:A227 B223:N225">
    <cfRule type="expression" dxfId="21" priority="155" stopIfTrue="1">
      <formula>AND(INT($A8/1000)=$A8/1000,$A8&lt;&gt;"")</formula>
    </cfRule>
  </conditionalFormatting>
  <conditionalFormatting sqref="B226:D227 A209:D222 A202:D202">
    <cfRule type="expression" dxfId="20" priority="28" stopIfTrue="1">
      <formula>AND($F202&lt;&gt;"ok",$F202&lt;&gt;"na",$G202&lt;&gt;"",$L202="")</formula>
    </cfRule>
    <cfRule type="expression" dxfId="19" priority="30" stopIfTrue="1">
      <formula>AND($F202="na")</formula>
    </cfRule>
  </conditionalFormatting>
  <conditionalFormatting sqref="B226:D227 A209:D222 A202:D202">
    <cfRule type="expression" dxfId="18" priority="29" stopIfTrue="1">
      <formula>AND(INT($A202/1000)=$A202/1000,$A202&lt;&gt;"")</formula>
    </cfRule>
  </conditionalFormatting>
  <conditionalFormatting sqref="E203:G208">
    <cfRule type="expression" dxfId="17" priority="19" stopIfTrue="1">
      <formula>AND($F203&lt;&gt;"ok",$F203&lt;&gt;"na",$G203&lt;&gt;"",$L203="")</formula>
    </cfRule>
    <cfRule type="expression" dxfId="16" priority="21" stopIfTrue="1">
      <formula>AND($F203="na")</formula>
    </cfRule>
  </conditionalFormatting>
  <conditionalFormatting sqref="E203:G208">
    <cfRule type="expression" dxfId="15" priority="20" stopIfTrue="1">
      <formula>AND(INT($A203/1000)=$A203/1000,$A203&lt;&gt;"")</formula>
    </cfRule>
  </conditionalFormatting>
  <conditionalFormatting sqref="A203:D208">
    <cfRule type="expression" dxfId="14" priority="16" stopIfTrue="1">
      <formula>AND($F203&lt;&gt;"ok",$F203&lt;&gt;"na",$G203&lt;&gt;"",$L203="")</formula>
    </cfRule>
    <cfRule type="expression" dxfId="13" priority="18" stopIfTrue="1">
      <formula>AND($F203="na")</formula>
    </cfRule>
  </conditionalFormatting>
  <conditionalFormatting sqref="A203:D208">
    <cfRule type="expression" dxfId="12" priority="17" stopIfTrue="1">
      <formula>AND(INT($A203/1000)=$A203/1000,$A203&lt;&gt;"")</formula>
    </cfRule>
  </conditionalFormatting>
  <conditionalFormatting sqref="E200:G201">
    <cfRule type="expression" dxfId="11" priority="13" stopIfTrue="1">
      <formula>AND($F200&lt;&gt;"ok",$F200&lt;&gt;"na",$G200&lt;&gt;"",$L200="")</formula>
    </cfRule>
    <cfRule type="expression" dxfId="10" priority="15" stopIfTrue="1">
      <formula>AND($F200="na")</formula>
    </cfRule>
  </conditionalFormatting>
  <conditionalFormatting sqref="E200:G201">
    <cfRule type="expression" dxfId="9" priority="14" stopIfTrue="1">
      <formula>AND(INT($A200/1000)=$A200/1000,$A200&lt;&gt;"")</formula>
    </cfRule>
  </conditionalFormatting>
  <conditionalFormatting sqref="A200:D201">
    <cfRule type="expression" dxfId="8" priority="10" stopIfTrue="1">
      <formula>AND($F200&lt;&gt;"ok",$F200&lt;&gt;"na",$G200&lt;&gt;"",$L200="")</formula>
    </cfRule>
    <cfRule type="expression" dxfId="7" priority="12" stopIfTrue="1">
      <formula>AND($F200="na")</formula>
    </cfRule>
  </conditionalFormatting>
  <conditionalFormatting sqref="A200:D201">
    <cfRule type="expression" dxfId="6" priority="11" stopIfTrue="1">
      <formula>AND(INT($A200/1000)=$A200/1000,$A200&lt;&gt;"")</formula>
    </cfRule>
  </conditionalFormatting>
  <conditionalFormatting sqref="E54:F56 G54:G58 E61:F66 E67:G101">
    <cfRule type="expression" dxfId="5" priority="7" stopIfTrue="1">
      <formula>AND($F54&lt;&gt;"ok",$F54&lt;&gt;"na",$G54&lt;&gt;"",$L54="")</formula>
    </cfRule>
    <cfRule type="expression" dxfId="4" priority="9" stopIfTrue="1">
      <formula>AND($F54="na")</formula>
    </cfRule>
  </conditionalFormatting>
  <conditionalFormatting sqref="E54:F56 G54:G58 E61:F66 E67:G101">
    <cfRule type="expression" dxfId="3" priority="8" stopIfTrue="1">
      <formula>AND(INT($A54/1000)=$A54/1000,$A54&lt;&gt;"")</formula>
    </cfRule>
  </conditionalFormatting>
  <conditionalFormatting sqref="E57:F58 G61:G66">
    <cfRule type="expression" dxfId="2" priority="4" stopIfTrue="1">
      <formula>AND($F57&lt;&gt;"ok",$F57&lt;&gt;"na",$G57&lt;&gt;"",$L57="")</formula>
    </cfRule>
    <cfRule type="expression" dxfId="1" priority="6" stopIfTrue="1">
      <formula>AND($F57="na")</formula>
    </cfRule>
  </conditionalFormatting>
  <conditionalFormatting sqref="E57:F58 G61:G66">
    <cfRule type="expression" dxfId="0" priority="5" stopIfTrue="1">
      <formula>AND(INT($A57/1000)=$A57/1000,$A57&lt;&gt;"")</formula>
    </cfRule>
  </conditionalFormatting>
  <printOptions gridLines="1"/>
  <pageMargins left="0.39370078740157483" right="0.39370078740157483" top="0.39370078740157483" bottom="0.39370078740157483" header="0.51181102362204722" footer="0.19685039370078741"/>
  <pageSetup scale="56" fitToHeight="21" orientation="portrait" horizontalDpi="1200" verticalDpi="1200" r:id="rId1"/>
  <headerFooter alignWithMargins="0">
    <oddFooter>&amp;L&amp;D&amp;C&amp;F&amp;RPage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DateTestJour">
                <anchor moveWithCells="1" sizeWithCells="1">
                  <from>
                    <xdr:col>7</xdr:col>
                    <xdr:colOff>38100</xdr:colOff>
                    <xdr:row>6</xdr:row>
                    <xdr:rowOff>57150</xdr:rowOff>
                  </from>
                  <to>
                    <xdr:col>7</xdr:col>
                    <xdr:colOff>800100</xdr:colOff>
                    <xdr:row>6</xdr:row>
                    <xdr:rowOff>257175</xdr:rowOff>
                  </to>
                </anchor>
              </controlPr>
            </control>
          </mc:Choice>
        </mc:AlternateContent>
        <mc:AlternateContent xmlns:mc="http://schemas.openxmlformats.org/markup-compatibility/2006">
          <mc:Choice Requires="x14">
            <control shapeId="1029" r:id="rId5" name="Button 5">
              <controlPr defaultSize="0" print="0" autoFill="0" autoPict="0" macro="[0]!DateCorrectionJour">
                <anchor moveWithCells="1" sizeWithCells="1">
                  <from>
                    <xdr:col>12</xdr:col>
                    <xdr:colOff>38100</xdr:colOff>
                    <xdr:row>6</xdr:row>
                    <xdr:rowOff>304800</xdr:rowOff>
                  </from>
                  <to>
                    <xdr:col>12</xdr:col>
                    <xdr:colOff>800100</xdr:colOff>
                    <xdr:row>6</xdr:row>
                    <xdr:rowOff>504825</xdr:rowOff>
                  </to>
                </anchor>
              </controlPr>
            </control>
          </mc:Choice>
        </mc:AlternateContent>
        <mc:AlternateContent xmlns:mc="http://schemas.openxmlformats.org/markup-compatibility/2006">
          <mc:Choice Requires="x14">
            <control shapeId="1031" r:id="rId6" name="Button 7">
              <controlPr defaultSize="0" print="0" autoFill="0" autoPict="0" macro="[0]!CacherOK">
                <anchor moveWithCells="1" sizeWithCells="1">
                  <from>
                    <xdr:col>5</xdr:col>
                    <xdr:colOff>28575</xdr:colOff>
                    <xdr:row>6</xdr:row>
                    <xdr:rowOff>57150</xdr:rowOff>
                  </from>
                  <to>
                    <xdr:col>5</xdr:col>
                    <xdr:colOff>790575</xdr:colOff>
                    <xdr:row>6</xdr:row>
                    <xdr:rowOff>257175</xdr:rowOff>
                  </to>
                </anchor>
              </controlPr>
            </control>
          </mc:Choice>
        </mc:AlternateContent>
        <mc:AlternateContent xmlns:mc="http://schemas.openxmlformats.org/markup-compatibility/2006">
          <mc:Choice Requires="x14">
            <control shapeId="1032" r:id="rId7" name="Button 8">
              <controlPr defaultSize="0" print="0" autoFill="0" autoPict="0" macro="[0]!AfficherTout">
                <anchor moveWithCells="1" sizeWithCells="1">
                  <from>
                    <xdr:col>5</xdr:col>
                    <xdr:colOff>819150</xdr:colOff>
                    <xdr:row>6</xdr:row>
                    <xdr:rowOff>57150</xdr:rowOff>
                  </from>
                  <to>
                    <xdr:col>5</xdr:col>
                    <xdr:colOff>1581150</xdr:colOff>
                    <xdr:row>6</xdr:row>
                    <xdr:rowOff>257175</xdr:rowOff>
                  </to>
                </anchor>
              </controlPr>
            </control>
          </mc:Choice>
        </mc:AlternateContent>
        <mc:AlternateContent xmlns:mc="http://schemas.openxmlformats.org/markup-compatibility/2006">
          <mc:Choice Requires="x14">
            <control shapeId="1033" r:id="rId8" name="Button 9">
              <controlPr defaultSize="0" print="0" autoFill="0" autoPict="0" macro="[0]!TrierCas">
                <anchor moveWithCells="1" sizeWithCells="1">
                  <from>
                    <xdr:col>0</xdr:col>
                    <xdr:colOff>38100</xdr:colOff>
                    <xdr:row>6</xdr:row>
                    <xdr:rowOff>57150</xdr:rowOff>
                  </from>
                  <to>
                    <xdr:col>0</xdr:col>
                    <xdr:colOff>476250</xdr:colOff>
                    <xdr:row>6</xdr:row>
                    <xdr:rowOff>266700</xdr:rowOff>
                  </to>
                </anchor>
              </controlPr>
            </control>
          </mc:Choice>
        </mc:AlternateContent>
        <mc:AlternateContent xmlns:mc="http://schemas.openxmlformats.org/markup-compatibility/2006">
          <mc:Choice Requires="x14">
            <control shapeId="1034" r:id="rId9" name="Button 10">
              <controlPr defaultSize="0" print="0" autoFill="0" autoPict="0" macro="[0]!TrierGravite">
                <anchor moveWithCells="1" sizeWithCells="1">
                  <from>
                    <xdr:col>9</xdr:col>
                    <xdr:colOff>38100</xdr:colOff>
                    <xdr:row>6</xdr:row>
                    <xdr:rowOff>57150</xdr:rowOff>
                  </from>
                  <to>
                    <xdr:col>9</xdr:col>
                    <xdr:colOff>457200</xdr:colOff>
                    <xdr:row>6</xdr:row>
                    <xdr:rowOff>266700</xdr:rowOff>
                  </to>
                </anchor>
              </controlPr>
            </control>
          </mc:Choice>
        </mc:AlternateContent>
        <mc:AlternateContent xmlns:mc="http://schemas.openxmlformats.org/markup-compatibility/2006">
          <mc:Choice Requires="x14">
            <control shapeId="1035" r:id="rId10" name="Button 11">
              <controlPr defaultSize="0" print="0" autoFill="0" autoPict="0" macro="[0]!TrierCorrection">
                <anchor moveWithCells="1" sizeWithCells="1">
                  <from>
                    <xdr:col>12</xdr:col>
                    <xdr:colOff>38100</xdr:colOff>
                    <xdr:row>6</xdr:row>
                    <xdr:rowOff>57150</xdr:rowOff>
                  </from>
                  <to>
                    <xdr:col>12</xdr:col>
                    <xdr:colOff>800100</xdr:colOff>
                    <xdr:row>6</xdr:row>
                    <xdr:rowOff>266700</xdr:rowOff>
                  </to>
                </anchor>
              </controlPr>
            </control>
          </mc:Choice>
        </mc:AlternateContent>
        <mc:AlternateContent xmlns:mc="http://schemas.openxmlformats.org/markup-compatibility/2006">
          <mc:Choice Requires="x14">
            <control shapeId="1036" r:id="rId11" name="Button 12">
              <controlPr defaultSize="0" print="0" autoFill="0" autoPict="0" macro="[0]!TrierProgInt">
                <anchor moveWithCells="1" sizeWithCells="1">
                  <from>
                    <xdr:col>10</xdr:col>
                    <xdr:colOff>38100</xdr:colOff>
                    <xdr:row>6</xdr:row>
                    <xdr:rowOff>57150</xdr:rowOff>
                  </from>
                  <to>
                    <xdr:col>10</xdr:col>
                    <xdr:colOff>400050</xdr:colOff>
                    <xdr:row>6</xdr:row>
                    <xdr:rowOff>266700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B38"/>
  <sheetViews>
    <sheetView workbookViewId="0"/>
  </sheetViews>
  <sheetFormatPr baseColWidth="10" defaultRowHeight="12.75" x14ac:dyDescent="0.2"/>
  <cols>
    <col min="1" max="1" width="4.7109375" customWidth="1"/>
  </cols>
  <sheetData>
    <row r="1" spans="1:2" ht="15.75" x14ac:dyDescent="0.25">
      <c r="A1" s="24" t="s">
        <v>17</v>
      </c>
    </row>
    <row r="3" spans="1:2" x14ac:dyDescent="0.2">
      <c r="A3" s="26" t="s">
        <v>18</v>
      </c>
      <c r="B3" s="26" t="s">
        <v>43</v>
      </c>
    </row>
    <row r="4" spans="1:2" x14ac:dyDescent="0.2">
      <c r="A4" s="26"/>
      <c r="B4" s="26" t="s">
        <v>46</v>
      </c>
    </row>
    <row r="5" spans="1:2" x14ac:dyDescent="0.2">
      <c r="A5" s="26"/>
      <c r="B5" s="26" t="s">
        <v>47</v>
      </c>
    </row>
    <row r="6" spans="1:2" x14ac:dyDescent="0.2">
      <c r="A6" s="26"/>
      <c r="B6" s="26" t="s">
        <v>44</v>
      </c>
    </row>
    <row r="7" spans="1:2" x14ac:dyDescent="0.2">
      <c r="A7" s="26"/>
      <c r="B7" s="26" t="s">
        <v>45</v>
      </c>
    </row>
    <row r="9" spans="1:2" x14ac:dyDescent="0.2">
      <c r="A9" s="26" t="s">
        <v>19</v>
      </c>
      <c r="B9" s="26" t="s">
        <v>41</v>
      </c>
    </row>
    <row r="10" spans="1:2" x14ac:dyDescent="0.2">
      <c r="A10" s="26"/>
      <c r="B10" s="26" t="s">
        <v>62</v>
      </c>
    </row>
    <row r="11" spans="1:2" x14ac:dyDescent="0.2">
      <c r="A11" s="26"/>
      <c r="B11" s="43" t="s">
        <v>63</v>
      </c>
    </row>
    <row r="12" spans="1:2" x14ac:dyDescent="0.2">
      <c r="A12" s="26"/>
      <c r="B12" s="43" t="s">
        <v>64</v>
      </c>
    </row>
    <row r="13" spans="1:2" x14ac:dyDescent="0.2">
      <c r="A13" s="26"/>
      <c r="B13" s="26" t="s">
        <v>42</v>
      </c>
    </row>
    <row r="14" spans="1:2" x14ac:dyDescent="0.2">
      <c r="A14" s="26"/>
      <c r="B14" s="26" t="s">
        <v>49</v>
      </c>
    </row>
    <row r="15" spans="1:2" x14ac:dyDescent="0.2">
      <c r="A15" s="26"/>
      <c r="B15" s="26" t="s">
        <v>27</v>
      </c>
    </row>
    <row r="16" spans="1:2" x14ac:dyDescent="0.2">
      <c r="A16" s="26"/>
      <c r="B16" s="26" t="s">
        <v>48</v>
      </c>
    </row>
    <row r="17" spans="1:2" x14ac:dyDescent="0.2">
      <c r="A17" s="26"/>
      <c r="B17" s="26"/>
    </row>
    <row r="18" spans="1:2" x14ac:dyDescent="0.2">
      <c r="A18" s="26" t="s">
        <v>20</v>
      </c>
      <c r="B18" s="26" t="s">
        <v>22</v>
      </c>
    </row>
    <row r="19" spans="1:2" x14ac:dyDescent="0.2">
      <c r="A19" s="26"/>
      <c r="B19" s="26" t="s">
        <v>50</v>
      </c>
    </row>
    <row r="20" spans="1:2" x14ac:dyDescent="0.2">
      <c r="A20" s="26"/>
      <c r="B20" s="26" t="s">
        <v>23</v>
      </c>
    </row>
    <row r="21" spans="1:2" x14ac:dyDescent="0.2">
      <c r="A21" s="26"/>
      <c r="B21" s="26"/>
    </row>
    <row r="22" spans="1:2" x14ac:dyDescent="0.2">
      <c r="A22" s="26" t="s">
        <v>25</v>
      </c>
      <c r="B22" s="26" t="s">
        <v>21</v>
      </c>
    </row>
    <row r="23" spans="1:2" x14ac:dyDescent="0.2">
      <c r="B23" s="26" t="s">
        <v>51</v>
      </c>
    </row>
    <row r="24" spans="1:2" x14ac:dyDescent="0.2">
      <c r="B24" s="26" t="s">
        <v>52</v>
      </c>
    </row>
    <row r="25" spans="1:2" x14ac:dyDescent="0.2">
      <c r="B25" s="26" t="s">
        <v>26</v>
      </c>
    </row>
    <row r="26" spans="1:2" x14ac:dyDescent="0.2">
      <c r="B26" s="26" t="s">
        <v>53</v>
      </c>
    </row>
    <row r="27" spans="1:2" x14ac:dyDescent="0.2">
      <c r="B27" s="26" t="s">
        <v>54</v>
      </c>
    </row>
    <row r="28" spans="1:2" x14ac:dyDescent="0.2">
      <c r="B28" s="26" t="s">
        <v>61</v>
      </c>
    </row>
    <row r="29" spans="1:2" x14ac:dyDescent="0.2">
      <c r="B29" s="26" t="s">
        <v>59</v>
      </c>
    </row>
    <row r="30" spans="1:2" x14ac:dyDescent="0.2">
      <c r="B30" s="26" t="s">
        <v>60</v>
      </c>
    </row>
    <row r="31" spans="1:2" x14ac:dyDescent="0.2">
      <c r="B31" s="26" t="s">
        <v>28</v>
      </c>
    </row>
    <row r="32" spans="1:2" x14ac:dyDescent="0.2">
      <c r="B32" s="26" t="s">
        <v>24</v>
      </c>
    </row>
    <row r="34" spans="1:2" x14ac:dyDescent="0.2">
      <c r="A34" s="26" t="s">
        <v>32</v>
      </c>
      <c r="B34" s="26" t="s">
        <v>29</v>
      </c>
    </row>
    <row r="35" spans="1:2" x14ac:dyDescent="0.2">
      <c r="A35" s="26"/>
      <c r="B35" s="26" t="s">
        <v>55</v>
      </c>
    </row>
    <row r="36" spans="1:2" x14ac:dyDescent="0.2">
      <c r="B36" s="26" t="s">
        <v>56</v>
      </c>
    </row>
    <row r="37" spans="1:2" x14ac:dyDescent="0.2">
      <c r="B37" s="26" t="s">
        <v>57</v>
      </c>
    </row>
    <row r="38" spans="1:2" x14ac:dyDescent="0.2">
      <c r="B38" t="s">
        <v>58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Cas</vt:lpstr>
      <vt:lpstr>Instructions</vt:lpstr>
      <vt:lpstr>Date_correction</vt:lpstr>
      <vt:lpstr>Date_test</vt:lpstr>
      <vt:lpstr>Debut_effacer</vt:lpstr>
    </vt:vector>
  </TitlesOfParts>
  <Company>Vertisoft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clagace</dc:creator>
  <cp:lastModifiedBy>Samuel</cp:lastModifiedBy>
  <cp:lastPrinted>2009-03-21T16:40:21Z</cp:lastPrinted>
  <dcterms:created xsi:type="dcterms:W3CDTF">2008-03-13T20:04:11Z</dcterms:created>
  <dcterms:modified xsi:type="dcterms:W3CDTF">2016-12-15T19:48:27Z</dcterms:modified>
</cp:coreProperties>
</file>